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480" yWindow="3165" windowWidth="24240" windowHeight="9480" tabRatio="521"/>
  </bookViews>
  <sheets>
    <sheet name="Лист2" sheetId="2" r:id="rId1"/>
    <sheet name="База данных" sheetId="3" r:id="rId2"/>
    <sheet name="Лист1" sheetId="1" r:id="rId3"/>
    <sheet name="Лист4" sheetId="4" r:id="rId4"/>
    <sheet name="Лист5" sheetId="5" r:id="rId5"/>
  </sheets>
  <calcPr calcId="145621" refMode="R1C1"/>
</workbook>
</file>

<file path=xl/calcChain.xml><?xml version="1.0" encoding="utf-8"?>
<calcChain xmlns="http://schemas.openxmlformats.org/spreadsheetml/2006/main">
  <c r="J25" i="1" l="1"/>
  <c r="B11" i="3" l="1"/>
  <c r="G21" i="1" s="1"/>
  <c r="C11" i="3"/>
  <c r="G22" i="1" s="1"/>
  <c r="D11" i="3"/>
  <c r="H22" i="1" s="1"/>
  <c r="E11" i="3"/>
  <c r="B23" i="1" s="1"/>
  <c r="F11" i="3"/>
  <c r="G24" i="1" s="1"/>
  <c r="G11" i="3"/>
  <c r="H24" i="1" s="1"/>
  <c r="H11" i="3"/>
  <c r="I24" i="1" s="1"/>
  <c r="I16" i="1" l="1"/>
  <c r="I15" i="1"/>
  <c r="G29" i="4" l="1"/>
  <c r="G30" i="4" l="1"/>
  <c r="G28" i="4"/>
  <c r="G34" i="4"/>
  <c r="G16" i="1"/>
  <c r="B28" i="1"/>
  <c r="B29" i="4" l="1"/>
  <c r="B30" i="4"/>
  <c r="B31" i="4"/>
  <c r="D29" i="4"/>
  <c r="G33" i="4"/>
  <c r="G32" i="4"/>
  <c r="G31" i="4"/>
  <c r="C29" i="4"/>
  <c r="C31" i="4"/>
  <c r="C34" i="4"/>
  <c r="C28" i="4"/>
  <c r="C30" i="4"/>
  <c r="C32" i="4"/>
  <c r="C33" i="4"/>
  <c r="D28" i="4"/>
  <c r="D30" i="4"/>
  <c r="D31" i="4"/>
  <c r="D32" i="4"/>
  <c r="D33" i="4"/>
  <c r="D34" i="4"/>
  <c r="B34" i="4" l="1"/>
  <c r="B33" i="4"/>
  <c r="B32" i="4"/>
  <c r="B28" i="4"/>
  <c r="D32" i="1" l="1"/>
  <c r="D31" i="1" l="1"/>
  <c r="H16" i="1" l="1"/>
  <c r="H15" i="1"/>
  <c r="G15" i="1"/>
</calcChain>
</file>

<file path=xl/sharedStrings.xml><?xml version="1.0" encoding="utf-8"?>
<sst xmlns="http://schemas.openxmlformats.org/spreadsheetml/2006/main" count="198" uniqueCount="129">
  <si>
    <t>Кем выдан</t>
  </si>
  <si>
    <t>57 05</t>
  </si>
  <si>
    <t>Номер</t>
  </si>
  <si>
    <t>Серия</t>
  </si>
  <si>
    <t>УВД Мотовилихинского р-на г. Перми</t>
  </si>
  <si>
    <t>Дата выдачи</t>
  </si>
  <si>
    <t>Черезову Михаилу Васильевичу</t>
  </si>
  <si>
    <t>05</t>
  </si>
  <si>
    <t>июля</t>
  </si>
  <si>
    <t>КОМУ</t>
  </si>
  <si>
    <t>Имя</t>
  </si>
  <si>
    <t>Жуланову Михаилу Николаевичу</t>
  </si>
  <si>
    <t>августа</t>
  </si>
  <si>
    <t>Трапезникову Сергею Николаевичу</t>
  </si>
  <si>
    <t>57 11</t>
  </si>
  <si>
    <t>Трапезников С.Н</t>
  </si>
  <si>
    <t>Устинов Д.В.</t>
  </si>
  <si>
    <t>Жуланов М.Н.</t>
  </si>
  <si>
    <t>Устинову Дмитрию Валерьевичу</t>
  </si>
  <si>
    <t>57 14</t>
  </si>
  <si>
    <t>декабря</t>
  </si>
  <si>
    <t>11</t>
  </si>
  <si>
    <t>14</t>
  </si>
  <si>
    <t>ОУФМС России по Пермскому кр. в Свердловском р-не г. Перми</t>
  </si>
  <si>
    <t>Черезов М.В.</t>
  </si>
  <si>
    <t>По:</t>
  </si>
  <si>
    <t xml:space="preserve">  С:</t>
  </si>
  <si>
    <t>Экспедитор:</t>
  </si>
  <si>
    <t>Укажите срок действия:</t>
  </si>
  <si>
    <r>
      <t xml:space="preserve">Поставщик: </t>
    </r>
    <r>
      <rPr>
        <b/>
        <sz val="10"/>
        <color theme="1"/>
        <rFont val="Times New Roman"/>
        <family val="1"/>
        <charset val="204"/>
      </rPr>
      <t>(название фирмы)</t>
    </r>
  </si>
  <si>
    <t>Лебедев А.А.</t>
  </si>
  <si>
    <t>Лебедеву Алексею Александровичу</t>
  </si>
  <si>
    <t>Карагичев М.И.</t>
  </si>
  <si>
    <t>Карагичеву Михаилу Игоревичу</t>
  </si>
  <si>
    <t>57 04</t>
  </si>
  <si>
    <t>04</t>
  </si>
  <si>
    <t>Косарев Н.Р.</t>
  </si>
  <si>
    <t>Косареву Никите Романовичу</t>
  </si>
  <si>
    <t>ОУФМС России по Пермскому кр. в Свердловском районе г. Перми</t>
  </si>
  <si>
    <t>сентября</t>
  </si>
  <si>
    <t>57 16</t>
  </si>
  <si>
    <t>ОУФМС России по Пермскому кр. в Свердловском р-не гор. Перми</t>
  </si>
  <si>
    <t>октября</t>
  </si>
  <si>
    <t>Гулынин В.Г.</t>
  </si>
  <si>
    <t>Гулынин Виктор Генадьевич</t>
  </si>
  <si>
    <t>46 06</t>
  </si>
  <si>
    <t>2 отделом милиции Люберецкого УВД Московской обл.</t>
  </si>
  <si>
    <t>1. Заполнить поля</t>
  </si>
  <si>
    <t>разработано: Кусакин С.В.</t>
  </si>
  <si>
    <t xml:space="preserve">  </t>
  </si>
  <si>
    <t xml:space="preserve"> </t>
  </si>
  <si>
    <t>ПУСТЫЕ ПОЛЯ</t>
  </si>
  <si>
    <t>57 17</t>
  </si>
  <si>
    <t>марта</t>
  </si>
  <si>
    <t>17</t>
  </si>
  <si>
    <t>апреля</t>
  </si>
  <si>
    <t>прописью</t>
  </si>
  <si>
    <t>Страница 1</t>
  </si>
  <si>
    <t>ед. изм.</t>
  </si>
  <si>
    <t>Наименование</t>
  </si>
  <si>
    <t xml:space="preserve">Страница 2 </t>
  </si>
  <si>
    <t>№ Счетов/договоров:</t>
  </si>
  <si>
    <t>Соколов С.А.</t>
  </si>
  <si>
    <t>Соколову Сергею Анатольевичу</t>
  </si>
  <si>
    <t>песок</t>
  </si>
  <si>
    <t>Кадочников</t>
  </si>
  <si>
    <t>Кадочникову Александру Дмитриевичу</t>
  </si>
  <si>
    <t>Отделом внутренних дел Очёрского района Пермской области</t>
  </si>
  <si>
    <t>февраля</t>
  </si>
  <si>
    <t>ГУ МВД России по Пермскому краю</t>
  </si>
  <si>
    <t>18</t>
  </si>
  <si>
    <t>Кусакину С.В</t>
  </si>
  <si>
    <t>25 09</t>
  </si>
  <si>
    <t>ОУФМС России по Иркутской области в Правобережном округе гор. Иркутска</t>
  </si>
  <si>
    <t>Кусакину Сергею Владисилавовичу</t>
  </si>
  <si>
    <t>57 12</t>
  </si>
  <si>
    <t>ноября</t>
  </si>
  <si>
    <t>Бобровой Я.Ю.</t>
  </si>
  <si>
    <t>Бобровой Яне Юрьевне</t>
  </si>
  <si>
    <t>ОУФМС России по Пермскому кр. в Свердловском районе гор. Перми</t>
  </si>
  <si>
    <t>мая</t>
  </si>
  <si>
    <t>Токранов А.Ю.</t>
  </si>
  <si>
    <t>Токранову Андрею Юрьевичу</t>
  </si>
  <si>
    <t>57 13</t>
  </si>
  <si>
    <t>ОУФМС России по Пермскому краю в городе Кизеле</t>
  </si>
  <si>
    <t>Сайдаков П. Н.</t>
  </si>
  <si>
    <t>57 09</t>
  </si>
  <si>
    <t>10</t>
  </si>
  <si>
    <t>Ибрагимову Л.Р.</t>
  </si>
  <si>
    <t>Ибрагимову Линару Рафаиловичу</t>
  </si>
  <si>
    <t>ОУФМС России по Пермскому краю в Мотовилихинском р-не гор. Перми</t>
  </si>
  <si>
    <t>№</t>
  </si>
  <si>
    <t>ПРОИЗВОЛЬНО</t>
  </si>
  <si>
    <t>год 20</t>
  </si>
  <si>
    <t>число</t>
  </si>
  <si>
    <t>месяц</t>
  </si>
  <si>
    <t>(две цифры)</t>
  </si>
  <si>
    <t>Экспедитор (произвольно)</t>
  </si>
  <si>
    <t>57 18</t>
  </si>
  <si>
    <t>серия</t>
  </si>
  <si>
    <t xml:space="preserve">        Доверенность v 3.0</t>
  </si>
  <si>
    <t>ФИО:</t>
  </si>
  <si>
    <t>Паспорт:</t>
  </si>
  <si>
    <t>Кем выдан:</t>
  </si>
  <si>
    <t>Ибрагимов Л.Р.</t>
  </si>
  <si>
    <t>Сайдакову Павлу Николаевичу</t>
  </si>
  <si>
    <t>Шантыкову Виталию Владимировичу</t>
  </si>
  <si>
    <t>57 10</t>
  </si>
  <si>
    <t>июня</t>
  </si>
  <si>
    <t>Шантыков В.В.</t>
  </si>
  <si>
    <t xml:space="preserve">( КОМУ дательный падеж) </t>
  </si>
  <si>
    <t>2020</t>
  </si>
  <si>
    <t>Кириллов А.В.</t>
  </si>
  <si>
    <t>Кириллову Андрею Владимировичу</t>
  </si>
  <si>
    <t>09</t>
  </si>
  <si>
    <t>128385</t>
  </si>
  <si>
    <t>Рисков Михаил Григорьевич</t>
  </si>
  <si>
    <t>Кочёвским РОВД Коми-Пермяцкого автономного округа</t>
  </si>
  <si>
    <t>2. Распечатать страницу 1, нажав "Страница 1"</t>
  </si>
  <si>
    <t>3. Перевернуть лист и распечатать страницу 2, нажав "Страница 2"</t>
  </si>
  <si>
    <t>24</t>
  </si>
  <si>
    <t>ООО "Метизно-металлургическая компания"</t>
  </si>
  <si>
    <t>Гвозди тарные 2х40</t>
  </si>
  <si>
    <t>кг</t>
  </si>
  <si>
    <t>400 (четыреста)</t>
  </si>
  <si>
    <t>Счет № 16682 от 14.08.2020</t>
  </si>
  <si>
    <t>57 21</t>
  </si>
  <si>
    <t>076869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</si>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</sst>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\ "/>
    <numFmt numFmtId="165" formatCode="#"/>
    <numFmt numFmtId="166" formatCode="#_##0"/>
  </numFmts>
  <fonts count="18" x14ac:knownFonts="1">
    <font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  <font>
      <sz val="10"/>
      <color theme="0"/>
      <name val="Times New Roman"/>
      <family val="2"/>
      <charset val="204"/>
    </font>
    <font>
      <b/>
      <sz val="12"/>
      <color theme="1"/>
      <name val="Times New Roman"/>
      <family val="1"/>
      <charset val="204"/>
    </font>
    <font>
      <sz val="6"/>
      <color theme="1"/>
      <name val="Times New Roman"/>
      <family val="2"/>
      <charset val="204"/>
    </font>
    <font>
      <b/>
      <sz val="12"/>
      <color rgb="FF00B050"/>
      <name val="Times New Roman"/>
      <family val="1"/>
      <charset val="204"/>
    </font>
    <font>
      <sz val="7"/>
      <color theme="0" tint="-0.499984740745262"/>
      <name val="Times New Roman"/>
      <family val="2"/>
      <charset val="204"/>
    </font>
    <font>
      <b/>
      <sz val="12"/>
      <color rgb="FF00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2"/>
      <color theme="5" tint="-0.499984740745262"/>
      <name val="Times New Roman"/>
      <family val="2"/>
      <charset val="204"/>
    </font>
    <font>
      <sz val="12"/>
      <color rgb="FFFF0000"/>
      <name val="Times New Roman"/>
      <family val="2"/>
      <charset val="204"/>
    </font>
    <font>
      <b/>
      <sz val="12"/>
      <color rgb="FF800000"/>
      <name val="Times New Roman"/>
      <family val="1"/>
      <charset val="204"/>
    </font>
    <font>
      <sz val="12"/>
      <color rgb="FFFFFF99"/>
      <name val="Times New Roman"/>
      <family val="2"/>
      <charset val="204"/>
    </font>
    <font>
      <sz val="12"/>
      <color theme="9" tint="-0.249977111117893"/>
      <name val="Times New Roman"/>
      <family val="2"/>
      <charset val="204"/>
    </font>
    <font>
      <sz val="12"/>
      <name val="Times New Roman"/>
      <family val="2"/>
      <charset val="204"/>
    </font>
    <font>
      <sz val="11"/>
      <color theme="1"/>
      <name val="Times New Roman"/>
      <family val="2"/>
      <charset val="204"/>
    </font>
    <font>
      <sz val="12"/>
      <color theme="1"/>
      <name val="Times New Roman"/>
      <family val="1"/>
      <charset val="204"/>
    </font>
    <font>
      <sz val="12"/>
      <color rgb="FF7030A0"/>
      <name val="Times New Roman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rgb="FF00B050"/>
      </right>
      <top/>
      <bottom/>
      <diagonal/>
    </border>
    <border>
      <left style="thin">
        <color rgb="FF00B050"/>
      </left>
      <right/>
      <top style="thin">
        <color rgb="FF00B050"/>
      </top>
      <bottom/>
      <diagonal/>
    </border>
    <border>
      <left/>
      <right/>
      <top style="thin">
        <color rgb="FF00B050"/>
      </top>
      <bottom/>
      <diagonal/>
    </border>
    <border>
      <left/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/>
      <top/>
      <bottom/>
      <diagonal/>
    </border>
    <border>
      <left style="thin">
        <color rgb="FF00B050"/>
      </left>
      <right/>
      <top/>
      <bottom style="thin">
        <color rgb="FF00B050"/>
      </bottom>
      <diagonal/>
    </border>
    <border>
      <left/>
      <right/>
      <top/>
      <bottom style="thin">
        <color rgb="FF00B050"/>
      </bottom>
      <diagonal/>
    </border>
    <border>
      <left/>
      <right style="thin">
        <color rgb="FF00B050"/>
      </right>
      <top/>
      <bottom style="thin">
        <color rgb="FF00B050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1" fillId="0" borderId="0" xfId="0" applyFont="1"/>
    <xf numFmtId="0" fontId="1" fillId="0" borderId="0" xfId="0" applyNumberFormat="1" applyFont="1"/>
    <xf numFmtId="0" fontId="2" fillId="0" borderId="0" xfId="0" applyFont="1"/>
    <xf numFmtId="49" fontId="1" fillId="0" borderId="0" xfId="0" applyNumberFormat="1" applyFont="1"/>
    <xf numFmtId="164" fontId="1" fillId="0" borderId="0" xfId="0" applyNumberFormat="1" applyFont="1" applyAlignment="1"/>
    <xf numFmtId="14" fontId="1" fillId="0" borderId="0" xfId="0" applyNumberFormat="1" applyFont="1"/>
    <xf numFmtId="0" fontId="4" fillId="0" borderId="10" xfId="0" applyNumberFormat="1" applyFont="1" applyBorder="1"/>
    <xf numFmtId="0" fontId="6" fillId="0" borderId="0" xfId="0" applyNumberFormat="1" applyFont="1" applyBorder="1"/>
    <xf numFmtId="49" fontId="0" fillId="2" borderId="1" xfId="0" applyNumberFormat="1" applyFill="1" applyBorder="1" applyAlignment="1" applyProtection="1">
      <alignment horizontal="right"/>
      <protection locked="0"/>
    </xf>
    <xf numFmtId="49" fontId="0" fillId="2" borderId="1" xfId="0" applyNumberFormat="1" applyFill="1" applyBorder="1" applyAlignment="1" applyProtection="1">
      <alignment horizontal="center"/>
      <protection locked="0"/>
    </xf>
    <xf numFmtId="0" fontId="0" fillId="3" borderId="2" xfId="0" applyFill="1" applyBorder="1"/>
    <xf numFmtId="0" fontId="5" fillId="3" borderId="3" xfId="0" applyFont="1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0" xfId="0" applyFill="1"/>
    <xf numFmtId="0" fontId="3" fillId="3" borderId="0" xfId="0" applyFont="1" applyFill="1" applyBorder="1"/>
    <xf numFmtId="0" fontId="0" fillId="3" borderId="4" xfId="0" applyFill="1" applyBorder="1" applyAlignment="1">
      <alignment horizontal="center"/>
    </xf>
    <xf numFmtId="0" fontId="0" fillId="3" borderId="4" xfId="0" applyNumberFormat="1" applyFill="1" applyBorder="1"/>
    <xf numFmtId="0" fontId="0" fillId="3" borderId="0" xfId="0" applyNumberFormat="1" applyFill="1" applyBorder="1"/>
    <xf numFmtId="0" fontId="0" fillId="3" borderId="9" xfId="0" applyFill="1" applyBorder="1"/>
    <xf numFmtId="0" fontId="9" fillId="0" borderId="0" xfId="0" applyFont="1"/>
    <xf numFmtId="0" fontId="0" fillId="3" borderId="10" xfId="0" applyFill="1" applyBorder="1"/>
    <xf numFmtId="0" fontId="0" fillId="3" borderId="11" xfId="0" applyFill="1" applyBorder="1"/>
    <xf numFmtId="0" fontId="10" fillId="0" borderId="0" xfId="0" applyFont="1"/>
    <xf numFmtId="0" fontId="0" fillId="3" borderId="12" xfId="0" applyFill="1" applyBorder="1"/>
    <xf numFmtId="0" fontId="1" fillId="2" borderId="0" xfId="0" applyFont="1" applyFill="1"/>
    <xf numFmtId="164" fontId="1" fillId="0" borderId="0" xfId="0" applyNumberFormat="1" applyFont="1"/>
    <xf numFmtId="0" fontId="0" fillId="0" borderId="0" xfId="0" applyFont="1"/>
    <xf numFmtId="0" fontId="0" fillId="0" borderId="0" xfId="0" applyFill="1"/>
    <xf numFmtId="0" fontId="0" fillId="0" borderId="1" xfId="0" applyFill="1" applyBorder="1"/>
    <xf numFmtId="0" fontId="12" fillId="3" borderId="0" xfId="0" applyFont="1" applyFill="1" applyBorder="1"/>
    <xf numFmtId="0" fontId="3" fillId="3" borderId="0" xfId="0" applyFont="1" applyFill="1"/>
    <xf numFmtId="164" fontId="0" fillId="3" borderId="5" xfId="0" applyNumberFormat="1" applyFill="1" applyBorder="1" applyAlignment="1"/>
    <xf numFmtId="0" fontId="0" fillId="5" borderId="0" xfId="0" applyFill="1"/>
    <xf numFmtId="0" fontId="0" fillId="5" borderId="0" xfId="0" applyFill="1" applyBorder="1"/>
    <xf numFmtId="0" fontId="13" fillId="0" borderId="0" xfId="0" applyFont="1"/>
    <xf numFmtId="165" fontId="1" fillId="0" borderId="0" xfId="0" applyNumberFormat="1" applyFont="1"/>
    <xf numFmtId="165" fontId="0" fillId="0" borderId="1" xfId="0" applyNumberFormat="1" applyFill="1" applyBorder="1"/>
    <xf numFmtId="49" fontId="0" fillId="2" borderId="1" xfId="0" applyNumberFormat="1" applyFill="1" applyBorder="1" applyProtection="1">
      <protection locked="0"/>
    </xf>
    <xf numFmtId="0" fontId="1" fillId="4" borderId="0" xfId="0" applyFont="1" applyFill="1" applyBorder="1"/>
    <xf numFmtId="0" fontId="14" fillId="0" borderId="0" xfId="0" applyFont="1"/>
    <xf numFmtId="0" fontId="14" fillId="0" borderId="0" xfId="0" applyFont="1" applyAlignment="1"/>
    <xf numFmtId="49" fontId="14" fillId="0" borderId="0" xfId="0" applyNumberFormat="1" applyFont="1"/>
    <xf numFmtId="0" fontId="14" fillId="0" borderId="0" xfId="0" applyFont="1" applyAlignment="1">
      <alignment horizontal="left"/>
    </xf>
    <xf numFmtId="49" fontId="1" fillId="2" borderId="0" xfId="0" applyNumberFormat="1" applyFont="1" applyFill="1"/>
    <xf numFmtId="0" fontId="14" fillId="0" borderId="0" xfId="0" applyFont="1" applyBorder="1"/>
    <xf numFmtId="49" fontId="14" fillId="0" borderId="0" xfId="0" applyNumberFormat="1" applyFont="1" applyBorder="1"/>
    <xf numFmtId="0" fontId="14" fillId="0" borderId="13" xfId="0" applyFont="1" applyBorder="1"/>
    <xf numFmtId="0" fontId="14" fillId="0" borderId="14" xfId="0" applyFont="1" applyBorder="1"/>
    <xf numFmtId="0" fontId="14" fillId="0" borderId="15" xfId="0" applyFont="1" applyBorder="1"/>
    <xf numFmtId="49" fontId="14" fillId="0" borderId="15" xfId="0" applyNumberFormat="1" applyFont="1" applyBorder="1"/>
    <xf numFmtId="49" fontId="14" fillId="0" borderId="16" xfId="0" applyNumberFormat="1" applyFont="1" applyBorder="1"/>
    <xf numFmtId="0" fontId="14" fillId="0" borderId="17" xfId="0" applyFont="1" applyBorder="1"/>
    <xf numFmtId="49" fontId="14" fillId="0" borderId="13" xfId="0" applyNumberFormat="1" applyFont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0" fillId="3" borderId="0" xfId="0" applyFill="1" applyAlignment="1">
      <alignment horizontal="right"/>
    </xf>
    <xf numFmtId="0" fontId="15" fillId="3" borderId="0" xfId="0" applyFont="1" applyFill="1" applyAlignment="1">
      <alignment horizontal="right"/>
    </xf>
    <xf numFmtId="49" fontId="0" fillId="0" borderId="1" xfId="0" applyNumberFormat="1" applyFill="1" applyBorder="1"/>
    <xf numFmtId="0" fontId="3" fillId="3" borderId="3" xfId="0" applyFont="1" applyFill="1" applyBorder="1"/>
    <xf numFmtId="0" fontId="0" fillId="0" borderId="5" xfId="0" applyBorder="1"/>
    <xf numFmtId="0" fontId="0" fillId="3" borderId="10" xfId="0" applyFill="1" applyBorder="1" applyAlignment="1">
      <alignment horizontal="left"/>
    </xf>
    <xf numFmtId="0" fontId="0" fillId="0" borderId="3" xfId="0" applyBorder="1"/>
    <xf numFmtId="49" fontId="16" fillId="0" borderId="1" xfId="0" applyNumberFormat="1" applyFont="1" applyFill="1" applyBorder="1" applyAlignment="1">
      <alignment horizontal="left"/>
    </xf>
    <xf numFmtId="49" fontId="16" fillId="0" borderId="1" xfId="0" applyNumberFormat="1" applyFont="1" applyFill="1" applyBorder="1"/>
    <xf numFmtId="0" fontId="16" fillId="0" borderId="1" xfId="0" applyFont="1" applyFill="1" applyBorder="1"/>
    <xf numFmtId="0" fontId="15" fillId="3" borderId="0" xfId="0" applyFont="1" applyFill="1"/>
    <xf numFmtId="0" fontId="1" fillId="0" borderId="0" xfId="0" applyFont="1" applyFill="1"/>
    <xf numFmtId="49" fontId="1" fillId="0" borderId="0" xfId="0" applyNumberFormat="1" applyFont="1" applyFill="1"/>
    <xf numFmtId="0" fontId="14" fillId="0" borderId="0" xfId="0" applyFont="1" applyBorder="1" applyAlignment="1">
      <alignment horizontal="left"/>
    </xf>
    <xf numFmtId="0" fontId="14" fillId="0" borderId="0" xfId="0" applyNumberFormat="1" applyFont="1" applyBorder="1"/>
    <xf numFmtId="0" fontId="0" fillId="0" borderId="0" xfId="0" applyBorder="1"/>
    <xf numFmtId="0" fontId="1" fillId="0" borderId="0" xfId="0" applyFont="1" applyBorder="1"/>
    <xf numFmtId="166" fontId="0" fillId="0" borderId="1" xfId="0" applyNumberFormat="1" applyFill="1" applyBorder="1" applyAlignment="1">
      <alignment horizontal="right"/>
    </xf>
    <xf numFmtId="166" fontId="1" fillId="0" borderId="0" xfId="0" applyNumberFormat="1" applyFont="1"/>
    <xf numFmtId="49" fontId="0" fillId="0" borderId="1" xfId="0" applyNumberFormat="1" applyFill="1" applyBorder="1" applyAlignment="1">
      <alignment horizontal="left"/>
    </xf>
    <xf numFmtId="0" fontId="17" fillId="0" borderId="0" xfId="0" applyFont="1" applyFill="1"/>
    <xf numFmtId="49" fontId="0" fillId="0" borderId="1" xfId="0" applyNumberForma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/>
    <xf numFmtId="0" fontId="14" fillId="0" borderId="0" xfId="0" applyFont="1"/>
    <xf numFmtId="0" fontId="14" fillId="0" borderId="0" xfId="0" applyFont="1" applyAlignment="1">
      <alignment horizontal="left"/>
    </xf>
    <xf numFmtId="49" fontId="14" fillId="0" borderId="0" xfId="0" applyNumberFormat="1" applyFont="1" applyAlignment="1">
      <alignment horizontal="right"/>
    </xf>
    <xf numFmtId="0" fontId="0" fillId="0" borderId="6" xfId="0" applyFill="1" applyBorder="1" applyAlignment="1"/>
    <xf numFmtId="0" fontId="0" fillId="0" borderId="7" xfId="0" applyFill="1" applyBorder="1" applyAlignment="1"/>
    <xf numFmtId="0" fontId="0" fillId="0" borderId="8" xfId="0" applyFill="1" applyBorder="1" applyAlignment="1"/>
    <xf numFmtId="49" fontId="0" fillId="0" borderId="6" xfId="0" applyNumberFormat="1" applyBorder="1" applyAlignment="1"/>
    <xf numFmtId="49" fontId="0" fillId="0" borderId="7" xfId="0" applyNumberFormat="1" applyBorder="1" applyAlignment="1"/>
    <xf numFmtId="49" fontId="0" fillId="0" borderId="8" xfId="0" applyNumberFormat="1" applyBorder="1" applyAlignment="1"/>
    <xf numFmtId="49" fontId="0" fillId="0" borderId="1" xfId="0" applyNumberFormat="1" applyFill="1" applyBorder="1" applyAlignment="1"/>
    <xf numFmtId="49" fontId="0" fillId="0" borderId="6" xfId="0" applyNumberFormat="1" applyBorder="1" applyAlignment="1">
      <alignment wrapText="1"/>
    </xf>
    <xf numFmtId="49" fontId="0" fillId="0" borderId="1" xfId="0" applyNumberFormat="1" applyFill="1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99"/>
      <color rgb="FFFFFFCC"/>
      <color rgb="FFFFCC66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6" dropStyle="combo" dx="16" fmlaLink="$L$5" fmlaRange="'База данных'!$A$2:$A$17" noThreeD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9525</xdr:rowOff>
        </xdr:from>
        <xdr:to>
          <xdr:col>5</xdr:col>
          <xdr:colOff>419100</xdr:colOff>
          <xdr:row>11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18</xdr:row>
          <xdr:rowOff>66675</xdr:rowOff>
        </xdr:from>
        <xdr:to>
          <xdr:col>5</xdr:col>
          <xdr:colOff>238125</xdr:colOff>
          <xdr:row>19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Страница 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13</xdr:row>
          <xdr:rowOff>76200</xdr:rowOff>
        </xdr:from>
        <xdr:to>
          <xdr:col>14</xdr:col>
          <xdr:colOff>228600</xdr:colOff>
          <xdr:row>14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Страница 2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38100</xdr:colOff>
      <xdr:row>12</xdr:row>
      <xdr:rowOff>9525</xdr:rowOff>
    </xdr:from>
    <xdr:ext cx="646267" cy="280205"/>
    <xdr:sp macro="" textlink="">
      <xdr:nvSpPr>
        <xdr:cNvPr id="2" name="TextBox 1"/>
        <xdr:cNvSpPr txBox="1"/>
      </xdr:nvSpPr>
      <xdr:spPr>
        <a:xfrm>
          <a:off x="5476875" y="2428875"/>
          <a:ext cx="64626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 b="1"/>
            <a:t>Печать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21</xdr:row>
          <xdr:rowOff>180975</xdr:rowOff>
        </xdr:from>
        <xdr:to>
          <xdr:col>5</xdr:col>
          <xdr:colOff>238125</xdr:colOff>
          <xdr:row>25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Очистить все поля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123825</xdr:rowOff>
        </xdr:from>
        <xdr:to>
          <xdr:col>6</xdr:col>
          <xdr:colOff>371475</xdr:colOff>
          <xdr:row>14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X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3</xdr:col>
      <xdr:colOff>9525</xdr:colOff>
      <xdr:row>17</xdr:row>
      <xdr:rowOff>19050</xdr:rowOff>
    </xdr:from>
    <xdr:ext cx="646267" cy="280205"/>
    <xdr:sp macro="" textlink="">
      <xdr:nvSpPr>
        <xdr:cNvPr id="8" name="TextBox 7"/>
        <xdr:cNvSpPr txBox="1"/>
      </xdr:nvSpPr>
      <xdr:spPr>
        <a:xfrm>
          <a:off x="1438275" y="3438525"/>
          <a:ext cx="64626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 b="1"/>
            <a:t>Печать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142875</xdr:rowOff>
        </xdr:from>
        <xdr:to>
          <xdr:col>6</xdr:col>
          <xdr:colOff>371475</xdr:colOff>
          <xdr:row>17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X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5</xdr:row>
          <xdr:rowOff>0</xdr:rowOff>
        </xdr:from>
        <xdr:to>
          <xdr:col>17</xdr:col>
          <xdr:colOff>57150</xdr:colOff>
          <xdr:row>6</xdr:row>
          <xdr:rowOff>85725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X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266699</xdr:colOff>
      <xdr:row>1</xdr:row>
      <xdr:rowOff>76200</xdr:rowOff>
    </xdr:from>
    <xdr:to>
      <xdr:col>12</xdr:col>
      <xdr:colOff>276224</xdr:colOff>
      <xdr:row>16</xdr:row>
      <xdr:rowOff>152400</xdr:rowOff>
    </xdr:to>
    <xdr:sp macro="" textlink="">
      <xdr:nvSpPr>
        <xdr:cNvPr id="2" name="Прямоугольник 1"/>
        <xdr:cNvSpPr/>
      </xdr:nvSpPr>
      <xdr:spPr>
        <a:xfrm>
          <a:off x="12334874" y="276225"/>
          <a:ext cx="2066925" cy="3076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&lt;===</a:t>
          </a:r>
          <a:r>
            <a:rPr lang="en-US" sz="1600" baseline="0"/>
            <a:t> </a:t>
          </a:r>
          <a:r>
            <a:rPr lang="ru-RU" sz="1600"/>
            <a:t>БАЗА</a:t>
          </a:r>
          <a:r>
            <a:rPr lang="ru-RU" sz="1600" baseline="0"/>
            <a:t> ДАННЫХ.</a:t>
          </a:r>
          <a:endParaRPr lang="ru-RU" sz="1600"/>
        </a:p>
      </xdr:txBody>
    </xdr:sp>
    <xdr:clientData/>
  </xdr:twoCellAnchor>
  <xdr:twoCellAnchor>
    <xdr:from>
      <xdr:col>8</xdr:col>
      <xdr:colOff>66675</xdr:colOff>
      <xdr:row>11</xdr:row>
      <xdr:rowOff>38100</xdr:rowOff>
    </xdr:from>
    <xdr:to>
      <xdr:col>9</xdr:col>
      <xdr:colOff>180975</xdr:colOff>
      <xdr:row>16</xdr:row>
      <xdr:rowOff>152400</xdr:rowOff>
    </xdr:to>
    <xdr:sp macro="" textlink="">
      <xdr:nvSpPr>
        <xdr:cNvPr id="3" name="Прямоугольник 2"/>
        <xdr:cNvSpPr/>
      </xdr:nvSpPr>
      <xdr:spPr>
        <a:xfrm>
          <a:off x="11449050" y="2238375"/>
          <a:ext cx="800100" cy="111442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&lt;===</a:t>
          </a:r>
          <a:r>
            <a:rPr lang="en-US" sz="1000" baseline="0"/>
            <a:t> </a:t>
          </a:r>
          <a:r>
            <a:rPr lang="ru-RU" sz="1000"/>
            <a:t>Свои значения</a:t>
          </a:r>
        </a:p>
      </xdr:txBody>
    </xdr:sp>
    <xdr:clientData/>
  </xdr:twoCellAnchor>
  <xdr:twoCellAnchor editAs="absolute">
    <xdr:from>
      <xdr:col>0</xdr:col>
      <xdr:colOff>28576</xdr:colOff>
      <xdr:row>9</xdr:row>
      <xdr:rowOff>0</xdr:rowOff>
    </xdr:from>
    <xdr:to>
      <xdr:col>8</xdr:col>
      <xdr:colOff>1</xdr:colOff>
      <xdr:row>10</xdr:row>
      <xdr:rowOff>190500</xdr:rowOff>
    </xdr:to>
    <xdr:sp macro="" textlink="">
      <xdr:nvSpPr>
        <xdr:cNvPr id="4" name="Прямоугольник 3"/>
        <xdr:cNvSpPr/>
      </xdr:nvSpPr>
      <xdr:spPr>
        <a:xfrm>
          <a:off x="28576" y="1800225"/>
          <a:ext cx="11353800" cy="390525"/>
        </a:xfrm>
        <a:prstGeom prst="rect">
          <a:avLst/>
        </a:prstGeom>
        <a:pattFill prst="wdUpDiag">
          <a:fgClr>
            <a:schemeClr val="tx1">
              <a:lumMod val="50000"/>
              <a:lumOff val="50000"/>
            </a:schemeClr>
          </a:fgClr>
          <a:bgClr>
            <a:schemeClr val="bg1"/>
          </a:bgClr>
        </a:patt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0</xdr:col>
      <xdr:colOff>0</xdr:colOff>
      <xdr:row>36</xdr:row>
      <xdr:rowOff>0</xdr:rowOff>
    </xdr:from>
    <xdr:to>
      <xdr:col>8</xdr:col>
      <xdr:colOff>0</xdr:colOff>
      <xdr:row>38</xdr:row>
      <xdr:rowOff>9525</xdr:rowOff>
    </xdr:to>
    <xdr:sp macro="" textlink="">
      <xdr:nvSpPr>
        <xdr:cNvPr id="6" name="Прямоугольник 5"/>
        <xdr:cNvSpPr/>
      </xdr:nvSpPr>
      <xdr:spPr>
        <a:xfrm>
          <a:off x="0" y="7200900"/>
          <a:ext cx="11382375" cy="409575"/>
        </a:xfrm>
        <a:prstGeom prst="rect">
          <a:avLst/>
        </a:prstGeom>
        <a:pattFill prst="wdUpDiag">
          <a:fgClr>
            <a:schemeClr val="tx1">
              <a:lumMod val="50000"/>
              <a:lumOff val="50000"/>
            </a:schemeClr>
          </a:fgClr>
          <a:bgClr>
            <a:schemeClr val="bg1"/>
          </a:bgClr>
        </a:patt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142875</xdr:colOff>
      <xdr:row>30</xdr:row>
      <xdr:rowOff>57150</xdr:rowOff>
    </xdr:to>
    <xdr:pic>
      <xdr:nvPicPr>
        <xdr:cNvPr id="65" name="Рисунок 6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981950" cy="6057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183570</xdr:colOff>
      <xdr:row>4</xdr:row>
      <xdr:rowOff>43098</xdr:rowOff>
    </xdr:from>
    <xdr:to>
      <xdr:col>15</xdr:col>
      <xdr:colOff>104775</xdr:colOff>
      <xdr:row>21</xdr:row>
      <xdr:rowOff>178907</xdr:rowOff>
    </xdr:to>
    <xdr:grpSp>
      <xdr:nvGrpSpPr>
        <xdr:cNvPr id="40" name="Группа 39"/>
        <xdr:cNvGrpSpPr/>
      </xdr:nvGrpSpPr>
      <xdr:grpSpPr>
        <a:xfrm>
          <a:off x="4098345" y="843198"/>
          <a:ext cx="3464505" cy="3536234"/>
          <a:chOff x="3057451" y="647338"/>
          <a:chExt cx="3464670" cy="3840041"/>
        </a:xfrm>
      </xdr:grpSpPr>
      <xdr:sp macro="" textlink="">
        <xdr:nvSpPr>
          <xdr:cNvPr id="41" name="TextBox 40"/>
          <xdr:cNvSpPr txBox="1"/>
        </xdr:nvSpPr>
        <xdr:spPr>
          <a:xfrm>
            <a:off x="3171623" y="647338"/>
            <a:ext cx="1226191" cy="2918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200" b="1"/>
              <a:t>АО "ОДК-СТАР"</a:t>
            </a:r>
          </a:p>
        </xdr:txBody>
      </xdr:sp>
      <xdr:sp macro="" textlink="$G$15">
        <xdr:nvSpPr>
          <xdr:cNvPr id="42" name="TextBox 41"/>
          <xdr:cNvSpPr txBox="1"/>
        </xdr:nvSpPr>
        <xdr:spPr>
          <a:xfrm>
            <a:off x="3295152" y="1255337"/>
            <a:ext cx="340622" cy="3042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2AE78F6-711D-443D-A1AD-E4D4520DE5C4}" type="TxLink">
              <a:rPr lang="ru-RU" sz="1200" b="1"/>
              <a:pPr/>
              <a:t>17</a:t>
            </a:fld>
            <a:endParaRPr lang="ru-RU" sz="1200" b="1"/>
          </a:p>
        </xdr:txBody>
      </xdr:sp>
      <xdr:sp macro="" textlink="$H$15">
        <xdr:nvSpPr>
          <xdr:cNvPr id="43" name="TextBox 42"/>
          <xdr:cNvSpPr txBox="1"/>
        </xdr:nvSpPr>
        <xdr:spPr>
          <a:xfrm>
            <a:off x="4381185" y="1255337"/>
            <a:ext cx="340622" cy="3042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E5E0A7B-7306-47AC-95D4-334FFDD75388}" type="TxLink">
              <a:rPr lang="ru-RU" sz="1200" b="1"/>
              <a:pPr/>
              <a:t>09</a:t>
            </a:fld>
            <a:endParaRPr lang="ru-RU" sz="1200" b="1"/>
          </a:p>
        </xdr:txBody>
      </xdr:sp>
      <xdr:sp macro="" textlink="$H$16">
        <xdr:nvSpPr>
          <xdr:cNvPr id="45" name="TextBox 44"/>
          <xdr:cNvSpPr txBox="1"/>
        </xdr:nvSpPr>
        <xdr:spPr>
          <a:xfrm>
            <a:off x="5133909" y="1535523"/>
            <a:ext cx="340622" cy="3042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075EA21-CD30-4E27-9FD0-BF5D47F17435}" type="TxLink">
              <a:rPr lang="ru-RU" sz="1200" b="1"/>
              <a:pPr/>
              <a:t>09</a:t>
            </a:fld>
            <a:endParaRPr lang="ru-RU" sz="1200" b="1"/>
          </a:p>
        </xdr:txBody>
      </xdr:sp>
      <xdr:sp macro="" textlink="$G$16">
        <xdr:nvSpPr>
          <xdr:cNvPr id="47" name="TextBox 46"/>
          <xdr:cNvSpPr txBox="1"/>
        </xdr:nvSpPr>
        <xdr:spPr>
          <a:xfrm>
            <a:off x="4590981" y="1535523"/>
            <a:ext cx="340622" cy="3042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5FCE379-AB98-4F9E-81E1-83A06A4E5853}" type="TxLink">
              <a:rPr lang="ru-RU" sz="1200" b="1"/>
              <a:pPr/>
              <a:t>24</a:t>
            </a:fld>
            <a:endParaRPr lang="ru-RU" sz="1200" b="1"/>
          </a:p>
        </xdr:txBody>
      </xdr:sp>
      <xdr:sp macro="" textlink="$G$21">
        <xdr:nvSpPr>
          <xdr:cNvPr id="48" name="TextBox 47"/>
          <xdr:cNvSpPr txBox="1"/>
        </xdr:nvSpPr>
        <xdr:spPr>
          <a:xfrm>
            <a:off x="3981450" y="2852867"/>
            <a:ext cx="2233859" cy="2872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F6BF04C-2FE6-43E8-A2F6-435374B3A804}" type="TxLink">
              <a:rPr lang="ru-RU" sz="1100" b="1"/>
              <a:pPr/>
              <a:t>Жуланову Михаилу Николаевичу</a:t>
            </a:fld>
            <a:endParaRPr lang="ru-RU" sz="1100" b="1"/>
          </a:p>
        </xdr:txBody>
      </xdr:sp>
      <xdr:sp macro="" textlink="$G$22">
        <xdr:nvSpPr>
          <xdr:cNvPr id="49" name="TextBox 48"/>
          <xdr:cNvSpPr txBox="1"/>
        </xdr:nvSpPr>
        <xdr:spPr>
          <a:xfrm>
            <a:off x="3514552" y="3221202"/>
            <a:ext cx="502534" cy="2872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B0E6F25-C789-4995-8F9A-19388C079AEF}" type="TxLink">
              <a:rPr lang="ru-RU" sz="1100" b="1"/>
              <a:pPr/>
              <a:t>57 17</a:t>
            </a:fld>
            <a:endParaRPr lang="ru-RU" sz="1100" b="1"/>
          </a:p>
        </xdr:txBody>
      </xdr:sp>
      <xdr:sp macro="" textlink="$H$22">
        <xdr:nvSpPr>
          <xdr:cNvPr id="50" name="TextBox 49"/>
          <xdr:cNvSpPr txBox="1"/>
        </xdr:nvSpPr>
        <xdr:spPr>
          <a:xfrm>
            <a:off x="4514746" y="3221205"/>
            <a:ext cx="613659" cy="2872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9AB34AF-7EEC-48A4-B28E-3AEB899836AF}" type="TxLink">
              <a:rPr lang="ru-RU" sz="1100" b="1"/>
              <a:pPr/>
              <a:t>575120</a:t>
            </a:fld>
            <a:endParaRPr lang="ru-RU" sz="1100" b="1"/>
          </a:p>
        </xdr:txBody>
      </xdr:sp>
      <xdr:sp macro="" textlink="$B$23">
        <xdr:nvSpPr>
          <xdr:cNvPr id="51" name="TextBox 50"/>
          <xdr:cNvSpPr txBox="1"/>
        </xdr:nvSpPr>
        <xdr:spPr>
          <a:xfrm>
            <a:off x="3057451" y="3517352"/>
            <a:ext cx="3464670" cy="4757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square" tIns="72000" bIns="72000" numCol="1" spcCol="0" rtlCol="0" anchor="t">
            <a:noAutofit/>
          </a:bodyPr>
          <a:lstStyle/>
          <a:p>
            <a:pPr algn="l"/>
            <a:fld id="{777230A2-A841-44D0-B20E-EF9AD9A9D321}" type="TxLink">
              <a:rPr lang="ru-RU" sz="1100" b="1"/>
              <a:pPr algn="l"/>
              <a:t>ОУФМС России по Пермскому кр. в Свердловском р-не гор. Перми</a:t>
            </a:fld>
            <a:endParaRPr lang="ru-RU" sz="1100" b="1"/>
          </a:p>
        </xdr:txBody>
      </xdr:sp>
      <xdr:sp macro="" textlink="$G$24">
        <xdr:nvSpPr>
          <xdr:cNvPr id="52" name="TextBox 51"/>
          <xdr:cNvSpPr txBox="1"/>
        </xdr:nvSpPr>
        <xdr:spPr>
          <a:xfrm>
            <a:off x="3324151" y="4187619"/>
            <a:ext cx="327670" cy="2872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0ACF8E4-2E57-4DF7-A461-DC8698D4C016}" type="TxLink">
              <a:rPr lang="ru-RU" sz="1100" b="1"/>
              <a:pPr/>
              <a:t>28</a:t>
            </a:fld>
            <a:endParaRPr lang="ru-RU" sz="1100" b="1"/>
          </a:p>
        </xdr:txBody>
      </xdr:sp>
      <xdr:sp macro="" textlink="$H$24">
        <xdr:nvSpPr>
          <xdr:cNvPr id="53" name="TextBox 52"/>
          <xdr:cNvSpPr txBox="1"/>
        </xdr:nvSpPr>
        <xdr:spPr>
          <a:xfrm>
            <a:off x="3848027" y="4187638"/>
            <a:ext cx="620906" cy="2872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D985048-527F-456C-B345-ADF455DE9373}" type="TxLink">
              <a:rPr lang="ru-RU" sz="1100" b="1"/>
              <a:pPr/>
              <a:t>апреля</a:t>
            </a:fld>
            <a:endParaRPr lang="ru-RU" sz="1100" b="1"/>
          </a:p>
        </xdr:txBody>
      </xdr:sp>
      <xdr:sp macro="" textlink="$I$24">
        <xdr:nvSpPr>
          <xdr:cNvPr id="54" name="TextBox 53"/>
          <xdr:cNvSpPr txBox="1"/>
        </xdr:nvSpPr>
        <xdr:spPr>
          <a:xfrm>
            <a:off x="5925828" y="4183101"/>
            <a:ext cx="340622" cy="3042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969928A-578D-49AC-AD92-EADE980AD806}" type="TxLink">
              <a:rPr lang="ru-RU" sz="1200" b="1"/>
              <a:pPr/>
              <a:t>17</a:t>
            </a:fld>
            <a:endParaRPr lang="ru-RU" sz="1200" b="1"/>
          </a:p>
        </xdr:txBody>
      </xdr:sp>
    </xdr:grpSp>
    <xdr:clientData/>
  </xdr:twoCellAnchor>
  <xdr:oneCellAnchor>
    <xdr:from>
      <xdr:col>2</xdr:col>
      <xdr:colOff>7815</xdr:colOff>
      <xdr:row>8</xdr:row>
      <xdr:rowOff>198109</xdr:rowOff>
    </xdr:from>
    <xdr:ext cx="217560" cy="845873"/>
    <xdr:sp macro="" textlink="$J$25">
      <xdr:nvSpPr>
        <xdr:cNvPr id="55" name="TextBox 54"/>
        <xdr:cNvSpPr txBox="1"/>
      </xdr:nvSpPr>
      <xdr:spPr>
        <a:xfrm rot="16200000">
          <a:off x="808083" y="2112466"/>
          <a:ext cx="845873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84D0B72-DD38-4488-A385-B4E7439B7616}" type="TxLink">
            <a:rPr lang="ru-RU" sz="800" b="1"/>
            <a:pPr/>
            <a:t>Жуланов М.Н.</a:t>
          </a:fld>
          <a:endParaRPr lang="ru-RU" sz="800" b="1"/>
        </a:p>
      </xdr:txBody>
    </xdr:sp>
    <xdr:clientData/>
  </xdr:oneCellAnchor>
  <xdr:twoCellAnchor>
    <xdr:from>
      <xdr:col>1</xdr:col>
      <xdr:colOff>677385</xdr:colOff>
      <xdr:row>18</xdr:row>
      <xdr:rowOff>161548</xdr:rowOff>
    </xdr:from>
    <xdr:to>
      <xdr:col>2</xdr:col>
      <xdr:colOff>281317</xdr:colOff>
      <xdr:row>21</xdr:row>
      <xdr:rowOff>169255</xdr:rowOff>
    </xdr:to>
    <xdr:grpSp>
      <xdr:nvGrpSpPr>
        <xdr:cNvPr id="56" name="Группа 55"/>
        <xdr:cNvGrpSpPr/>
      </xdr:nvGrpSpPr>
      <xdr:grpSpPr>
        <a:xfrm rot="16200000">
          <a:off x="946985" y="3921023"/>
          <a:ext cx="607782" cy="289732"/>
          <a:chOff x="3053315" y="4772025"/>
          <a:chExt cx="630566" cy="289732"/>
        </a:xfrm>
      </xdr:grpSpPr>
      <xdr:grpSp>
        <xdr:nvGrpSpPr>
          <xdr:cNvPr id="57" name="Группа 56"/>
          <xdr:cNvGrpSpPr/>
        </xdr:nvGrpSpPr>
        <xdr:grpSpPr>
          <a:xfrm>
            <a:off x="3177138" y="4772025"/>
            <a:ext cx="506743" cy="289732"/>
            <a:chOff x="3167613" y="4772025"/>
            <a:chExt cx="506743" cy="289732"/>
          </a:xfrm>
        </xdr:grpSpPr>
        <xdr:sp macro="" textlink="$I$15">
          <xdr:nvSpPr>
            <xdr:cNvPr id="60" name="TextBox 59"/>
            <xdr:cNvSpPr txBox="1"/>
          </xdr:nvSpPr>
          <xdr:spPr>
            <a:xfrm>
              <a:off x="3333750" y="4781552"/>
              <a:ext cx="340606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fld id="{3A5FE3D0-8146-42A2-8C53-99652CEF5225}" type="TxLink">
                <a:rPr lang="ru-RU" sz="800" b="0"/>
                <a:pPr/>
                <a:t>2020</a:t>
              </a:fld>
              <a:endParaRPr lang="ru-RU" sz="800" b="0"/>
            </a:p>
          </xdr:txBody>
        </xdr:sp>
        <xdr:sp macro="" textlink="">
          <xdr:nvSpPr>
            <xdr:cNvPr id="61" name="TextBox 60"/>
            <xdr:cNvSpPr txBox="1"/>
          </xdr:nvSpPr>
          <xdr:spPr>
            <a:xfrm>
              <a:off x="3167613" y="4772025"/>
              <a:ext cx="156613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ru-RU" sz="800" b="0"/>
                <a:t>/</a:t>
              </a:r>
            </a:p>
          </xdr:txBody>
        </xdr:sp>
        <xdr:sp macro="" textlink="">
          <xdr:nvSpPr>
            <xdr:cNvPr id="62" name="TextBox 61"/>
            <xdr:cNvSpPr txBox="1"/>
          </xdr:nvSpPr>
          <xdr:spPr>
            <a:xfrm>
              <a:off x="3310488" y="4772025"/>
              <a:ext cx="156613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ru-RU" sz="800" b="0"/>
                <a:t>/</a:t>
              </a:r>
            </a:p>
          </xdr:txBody>
        </xdr:sp>
      </xdr:grpSp>
      <xdr:sp macro="" textlink="$G$15">
        <xdr:nvSpPr>
          <xdr:cNvPr id="58" name="TextBox 57"/>
          <xdr:cNvSpPr txBox="1"/>
        </xdr:nvSpPr>
        <xdr:spPr>
          <a:xfrm>
            <a:off x="3053315" y="4781550"/>
            <a:ext cx="266700" cy="2286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D3FB12A3-9E51-4226-9106-A1900FA07694}" type="TxLink">
              <a:rPr lang="ru-RU" sz="800" b="0"/>
              <a:pPr/>
              <a:t>17</a:t>
            </a:fld>
            <a:endParaRPr lang="ru-RU" sz="800" b="0"/>
          </a:p>
        </xdr:txBody>
      </xdr:sp>
      <xdr:sp macro="" textlink="$H$15">
        <xdr:nvSpPr>
          <xdr:cNvPr id="59" name="TextBox 58"/>
          <xdr:cNvSpPr txBox="1"/>
        </xdr:nvSpPr>
        <xdr:spPr>
          <a:xfrm>
            <a:off x="3195831" y="4781550"/>
            <a:ext cx="2476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82566696-E792-471F-ABFC-B39B3BAC18EE}" type="TxLink">
              <a:rPr lang="ru-RU" sz="800" b="0"/>
              <a:pPr/>
              <a:t>09</a:t>
            </a:fld>
            <a:endParaRPr lang="ru-RU" sz="800" b="0"/>
          </a:p>
        </xdr:txBody>
      </xdr:sp>
    </xdr:grpSp>
    <xdr:clientData/>
  </xdr:twoCellAnchor>
  <xdr:oneCellAnchor>
    <xdr:from>
      <xdr:col>9</xdr:col>
      <xdr:colOff>144461</xdr:colOff>
      <xdr:row>21</xdr:row>
      <xdr:rowOff>152019</xdr:rowOff>
    </xdr:from>
    <xdr:ext cx="2983766" cy="264560"/>
    <xdr:sp macro="" textlink="$D$31">
      <xdr:nvSpPr>
        <xdr:cNvPr id="63" name="TextBox 62"/>
        <xdr:cNvSpPr txBox="1"/>
      </xdr:nvSpPr>
      <xdr:spPr>
        <a:xfrm>
          <a:off x="4487861" y="4352544"/>
          <a:ext cx="29837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F873C34-C2B7-4446-99F1-A02612034881}" type="TxLink">
            <a:rPr lang="ru-RU" sz="1100" b="1"/>
            <a:pPr/>
            <a:t>ООО "Метизно-металлургическая компания"</a:t>
          </a:fld>
          <a:endParaRPr lang="ru-RU" sz="1100" b="1"/>
        </a:p>
      </xdr:txBody>
    </xdr:sp>
    <xdr:clientData/>
  </xdr:oneCellAnchor>
  <xdr:oneCellAnchor>
    <xdr:from>
      <xdr:col>3</xdr:col>
      <xdr:colOff>371479</xdr:colOff>
      <xdr:row>18</xdr:row>
      <xdr:rowOff>38100</xdr:rowOff>
    </xdr:from>
    <xdr:ext cx="361946" cy="1599820"/>
    <xdr:sp macro="" textlink="$D$31">
      <xdr:nvSpPr>
        <xdr:cNvPr id="64" name="TextBox 63"/>
        <xdr:cNvSpPr txBox="1"/>
      </xdr:nvSpPr>
      <xdr:spPr>
        <a:xfrm rot="16200000">
          <a:off x="1390842" y="4257487"/>
          <a:ext cx="1599820" cy="3619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F873C34-C2B7-4446-99F1-A02612034881}" type="TxLink">
            <a:rPr lang="ru-RU" sz="800" b="0"/>
            <a:pPr/>
            <a:t>ООО "Метизно-металлургическая компания"</a:t>
          </a:fld>
          <a:endParaRPr lang="ru-RU" sz="800" b="0"/>
        </a:p>
      </xdr:txBody>
    </xdr:sp>
    <xdr:clientData/>
  </xdr:oneCellAnchor>
  <xdr:twoCellAnchor>
    <xdr:from>
      <xdr:col>0</xdr:col>
      <xdr:colOff>342900</xdr:colOff>
      <xdr:row>30</xdr:row>
      <xdr:rowOff>0</xdr:rowOff>
    </xdr:from>
    <xdr:to>
      <xdr:col>15</xdr:col>
      <xdr:colOff>161925</xdr:colOff>
      <xdr:row>30</xdr:row>
      <xdr:rowOff>0</xdr:rowOff>
    </xdr:to>
    <xdr:cxnSp macro="">
      <xdr:nvCxnSpPr>
        <xdr:cNvPr id="3" name="Прямая соединительная линия 2"/>
        <xdr:cNvCxnSpPr/>
      </xdr:nvCxnSpPr>
      <xdr:spPr>
        <a:xfrm>
          <a:off x="342900" y="6000750"/>
          <a:ext cx="7277100" cy="0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419100</xdr:colOff>
      <xdr:row>6</xdr:row>
      <xdr:rowOff>123825</xdr:rowOff>
    </xdr:from>
    <xdr:to>
      <xdr:col>14</xdr:col>
      <xdr:colOff>314325</xdr:colOff>
      <xdr:row>9</xdr:row>
      <xdr:rowOff>47625</xdr:rowOff>
    </xdr:to>
    <xdr:sp macro="" textlink="">
      <xdr:nvSpPr>
        <xdr:cNvPr id="2" name="Прямоугольник 1"/>
        <xdr:cNvSpPr/>
      </xdr:nvSpPr>
      <xdr:spPr>
        <a:xfrm>
          <a:off x="6762750" y="1323975"/>
          <a:ext cx="323850" cy="52387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209550</xdr:colOff>
      <xdr:row>7</xdr:row>
      <xdr:rowOff>38100</xdr:rowOff>
    </xdr:from>
    <xdr:to>
      <xdr:col>14</xdr:col>
      <xdr:colOff>495300</xdr:colOff>
      <xdr:row>9</xdr:row>
      <xdr:rowOff>161925</xdr:rowOff>
    </xdr:to>
    <xdr:sp macro="" textlink="">
      <xdr:nvSpPr>
        <xdr:cNvPr id="30" name="Прямоугольник 29"/>
        <xdr:cNvSpPr/>
      </xdr:nvSpPr>
      <xdr:spPr>
        <a:xfrm>
          <a:off x="6553200" y="1438275"/>
          <a:ext cx="714375" cy="52387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77405</xdr:colOff>
      <xdr:row>6</xdr:row>
      <xdr:rowOff>180975</xdr:rowOff>
    </xdr:from>
    <xdr:to>
      <xdr:col>14</xdr:col>
      <xdr:colOff>573952</xdr:colOff>
      <xdr:row>8</xdr:row>
      <xdr:rowOff>61130</xdr:rowOff>
    </xdr:to>
    <xdr:sp macro="" textlink="$I$15">
      <xdr:nvSpPr>
        <xdr:cNvPr id="31" name="TextBox 30"/>
        <xdr:cNvSpPr txBox="1"/>
      </xdr:nvSpPr>
      <xdr:spPr>
        <a:xfrm>
          <a:off x="6849680" y="1381125"/>
          <a:ext cx="49654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1312789D-ED55-42CC-8005-82FE18C0F8F6}" type="TxLink">
            <a:rPr lang="ru-RU" sz="1200" b="1" u="none"/>
            <a:pPr/>
            <a:t>2020</a:t>
          </a:fld>
          <a:endParaRPr lang="ru-RU" sz="1200" b="1" u="none"/>
        </a:p>
      </xdr:txBody>
    </xdr:sp>
    <xdr:clientData/>
  </xdr:twoCellAnchor>
  <xdr:twoCellAnchor>
    <xdr:from>
      <xdr:col>14</xdr:col>
      <xdr:colOff>77405</xdr:colOff>
      <xdr:row>8</xdr:row>
      <xdr:rowOff>58687</xdr:rowOff>
    </xdr:from>
    <xdr:to>
      <xdr:col>14</xdr:col>
      <xdr:colOff>573952</xdr:colOff>
      <xdr:row>9</xdr:row>
      <xdr:rowOff>138867</xdr:rowOff>
    </xdr:to>
    <xdr:sp macro="" textlink="$I$16">
      <xdr:nvSpPr>
        <xdr:cNvPr id="32" name="TextBox 31"/>
        <xdr:cNvSpPr txBox="1"/>
      </xdr:nvSpPr>
      <xdr:spPr>
        <a:xfrm>
          <a:off x="6849680" y="1658887"/>
          <a:ext cx="49654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5EC1626B-9ADA-47BC-A2C3-F3B82914A776}" type="TxLink">
            <a:rPr lang="ru-RU" sz="1200" b="1" u="none"/>
            <a:pPr/>
            <a:t>2020</a:t>
          </a:fld>
          <a:endParaRPr lang="ru-RU" sz="1200" b="1" u="none"/>
        </a:p>
      </xdr:txBody>
    </xdr:sp>
    <xdr:clientData/>
  </xdr:twoCellAnchor>
  <xdr:oneCellAnchor>
    <xdr:from>
      <xdr:col>6</xdr:col>
      <xdr:colOff>209551</xdr:colOff>
      <xdr:row>24</xdr:row>
      <xdr:rowOff>104774</xdr:rowOff>
    </xdr:from>
    <xdr:ext cx="4324349" cy="1343026"/>
    <xdr:sp macro="" textlink="$B$28">
      <xdr:nvSpPr>
        <xdr:cNvPr id="6" name="TextBox 5"/>
        <xdr:cNvSpPr txBox="1"/>
      </xdr:nvSpPr>
      <xdr:spPr>
        <a:xfrm>
          <a:off x="3267076" y="4905374"/>
          <a:ext cx="4324349" cy="13430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>
            <a:lnSpc>
              <a:spcPct val="200000"/>
            </a:lnSpc>
          </a:pPr>
          <a:fld id="{25A48A40-78CE-41F0-A968-D747FB422D30}" type="TxLink">
            <a:rPr lang="ru-RU" sz="1050" b="1"/>
            <a:pPr>
              <a:lnSpc>
                <a:spcPct val="200000"/>
              </a:lnSpc>
            </a:pPr>
            <a:t>Счет № 16682 от 14.08.2020</a:t>
          </a:fld>
          <a:endParaRPr lang="ru-RU" sz="1050" b="1"/>
        </a:p>
      </xdr:txBody>
    </xdr:sp>
    <xdr:clientData/>
  </xdr:oneCellAnchor>
  <xdr:twoCellAnchor>
    <xdr:from>
      <xdr:col>1</xdr:col>
      <xdr:colOff>681655</xdr:colOff>
      <xdr:row>15</xdr:row>
      <xdr:rowOff>24914</xdr:rowOff>
    </xdr:from>
    <xdr:to>
      <xdr:col>2</xdr:col>
      <xdr:colOff>285587</xdr:colOff>
      <xdr:row>18</xdr:row>
      <xdr:rowOff>32621</xdr:rowOff>
    </xdr:to>
    <xdr:grpSp>
      <xdr:nvGrpSpPr>
        <xdr:cNvPr id="33" name="Группа 32"/>
        <xdr:cNvGrpSpPr/>
      </xdr:nvGrpSpPr>
      <xdr:grpSpPr>
        <a:xfrm rot="16200000">
          <a:off x="951255" y="3184314"/>
          <a:ext cx="607782" cy="289732"/>
          <a:chOff x="3053315" y="4772025"/>
          <a:chExt cx="630566" cy="289732"/>
        </a:xfrm>
      </xdr:grpSpPr>
      <xdr:grpSp>
        <xdr:nvGrpSpPr>
          <xdr:cNvPr id="34" name="Группа 33"/>
          <xdr:cNvGrpSpPr/>
        </xdr:nvGrpSpPr>
        <xdr:grpSpPr>
          <a:xfrm>
            <a:off x="3177138" y="4772025"/>
            <a:ext cx="506743" cy="289732"/>
            <a:chOff x="3167613" y="4772025"/>
            <a:chExt cx="506743" cy="289732"/>
          </a:xfrm>
        </xdr:grpSpPr>
        <xdr:sp macro="" textlink="$I$16">
          <xdr:nvSpPr>
            <xdr:cNvPr id="38" name="TextBox 37"/>
            <xdr:cNvSpPr txBox="1"/>
          </xdr:nvSpPr>
          <xdr:spPr>
            <a:xfrm>
              <a:off x="3333750" y="4781552"/>
              <a:ext cx="340606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fld id="{AB9BA02C-932C-4A0F-B166-CE50BAC2F7D4}" type="TxLink">
                <a:rPr lang="ru-RU" sz="800" b="0"/>
                <a:pPr/>
                <a:t>2020</a:t>
              </a:fld>
              <a:endParaRPr lang="ru-RU" sz="800" b="0"/>
            </a:p>
          </xdr:txBody>
        </xdr:sp>
        <xdr:sp macro="" textlink="">
          <xdr:nvSpPr>
            <xdr:cNvPr id="39" name="TextBox 38"/>
            <xdr:cNvSpPr txBox="1"/>
          </xdr:nvSpPr>
          <xdr:spPr>
            <a:xfrm>
              <a:off x="3167613" y="4772025"/>
              <a:ext cx="156613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ru-RU" sz="800" b="0"/>
                <a:t>/</a:t>
              </a:r>
            </a:p>
          </xdr:txBody>
        </xdr:sp>
        <xdr:sp macro="" textlink="">
          <xdr:nvSpPr>
            <xdr:cNvPr id="44" name="TextBox 43"/>
            <xdr:cNvSpPr txBox="1"/>
          </xdr:nvSpPr>
          <xdr:spPr>
            <a:xfrm>
              <a:off x="3310488" y="4772025"/>
              <a:ext cx="156613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ru-RU" sz="800" b="0"/>
                <a:t>/</a:t>
              </a:r>
            </a:p>
          </xdr:txBody>
        </xdr:sp>
      </xdr:grpSp>
      <xdr:sp macro="" textlink="$G$16">
        <xdr:nvSpPr>
          <xdr:cNvPr id="36" name="TextBox 35"/>
          <xdr:cNvSpPr txBox="1"/>
        </xdr:nvSpPr>
        <xdr:spPr>
          <a:xfrm>
            <a:off x="3053315" y="4781550"/>
            <a:ext cx="266700" cy="2286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164DE32A-7A79-4623-92BF-DA89CF04C47E}" type="TxLink">
              <a:rPr lang="ru-RU" sz="800" b="0"/>
              <a:pPr/>
              <a:t>24</a:t>
            </a:fld>
            <a:endParaRPr lang="ru-RU" sz="800" b="0"/>
          </a:p>
        </xdr:txBody>
      </xdr:sp>
      <xdr:sp macro="" textlink="$H$16">
        <xdr:nvSpPr>
          <xdr:cNvPr id="37" name="TextBox 36"/>
          <xdr:cNvSpPr txBox="1"/>
        </xdr:nvSpPr>
        <xdr:spPr>
          <a:xfrm>
            <a:off x="3195831" y="4781550"/>
            <a:ext cx="2476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9ADB6D6D-C93D-421F-9B08-BD98259DFB08}" type="TxLink">
              <a:rPr lang="ru-RU" sz="800" b="0"/>
              <a:pPr/>
              <a:t>09</a:t>
            </a:fld>
            <a:endParaRPr lang="ru-RU" sz="800" b="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304800</xdr:colOff>
      <xdr:row>26</xdr:row>
      <xdr:rowOff>47625</xdr:rowOff>
    </xdr:to>
    <xdr:pic>
      <xdr:nvPicPr>
        <xdr:cNvPr id="6" name="Рисунок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581900" cy="524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628650</xdr:colOff>
      <xdr:row>6</xdr:row>
      <xdr:rowOff>133350</xdr:rowOff>
    </xdr:from>
    <xdr:ext cx="2562225" cy="256737"/>
    <xdr:sp macro="" textlink="$B$28">
      <xdr:nvSpPr>
        <xdr:cNvPr id="3" name="TextBox 2"/>
        <xdr:cNvSpPr txBox="1"/>
      </xdr:nvSpPr>
      <xdr:spPr>
        <a:xfrm>
          <a:off x="628650" y="1333500"/>
          <a:ext cx="2562225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61D72AC-48CF-4E50-9EBA-A3CF89940953}" type="TxLink">
            <a:rPr lang="ru-RU" sz="1050"/>
            <a:pPr/>
            <a:t>Гвозди тарные 2х40</a:t>
          </a:fld>
          <a:endParaRPr lang="ru-RU" sz="1050"/>
        </a:p>
      </xdr:txBody>
    </xdr:sp>
    <xdr:clientData/>
  </xdr:oneCellAnchor>
  <xdr:oneCellAnchor>
    <xdr:from>
      <xdr:col>0</xdr:col>
      <xdr:colOff>628648</xdr:colOff>
      <xdr:row>8</xdr:row>
      <xdr:rowOff>47625</xdr:rowOff>
    </xdr:from>
    <xdr:ext cx="2533651" cy="256737"/>
    <xdr:sp macro="" textlink="$B$29">
      <xdr:nvSpPr>
        <xdr:cNvPr id="5" name="TextBox 4"/>
        <xdr:cNvSpPr txBox="1"/>
      </xdr:nvSpPr>
      <xdr:spPr>
        <a:xfrm>
          <a:off x="628648" y="1647825"/>
          <a:ext cx="2533651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8AB4462-0497-454B-A3DA-C21BF02175C0}" type="TxLink">
            <a:rPr lang="ru-RU" sz="1050"/>
            <a:pPr/>
            <a:t> </a:t>
          </a:fld>
          <a:endParaRPr lang="ru-RU" sz="1050"/>
        </a:p>
      </xdr:txBody>
    </xdr:sp>
    <xdr:clientData/>
  </xdr:oneCellAnchor>
  <xdr:oneCellAnchor>
    <xdr:from>
      <xdr:col>0</xdr:col>
      <xdr:colOff>628649</xdr:colOff>
      <xdr:row>9</xdr:row>
      <xdr:rowOff>133350</xdr:rowOff>
    </xdr:from>
    <xdr:ext cx="2533651" cy="256737"/>
    <xdr:sp macro="" textlink="$B$30">
      <xdr:nvSpPr>
        <xdr:cNvPr id="7" name="TextBox 6"/>
        <xdr:cNvSpPr txBox="1"/>
      </xdr:nvSpPr>
      <xdr:spPr>
        <a:xfrm>
          <a:off x="628649" y="1933575"/>
          <a:ext cx="2533651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BA24911A-0DD4-4D89-BF40-E2D75F1A4AD1}" type="TxLink">
            <a:rPr lang="ru-RU" sz="1050"/>
            <a:pPr/>
            <a:t> </a:t>
          </a:fld>
          <a:endParaRPr lang="ru-RU" sz="1050"/>
        </a:p>
      </xdr:txBody>
    </xdr:sp>
    <xdr:clientData/>
  </xdr:oneCellAnchor>
  <xdr:oneCellAnchor>
    <xdr:from>
      <xdr:col>0</xdr:col>
      <xdr:colOff>628649</xdr:colOff>
      <xdr:row>11</xdr:row>
      <xdr:rowOff>19050</xdr:rowOff>
    </xdr:from>
    <xdr:ext cx="2505076" cy="256737"/>
    <xdr:sp macro="" textlink="$B$31">
      <xdr:nvSpPr>
        <xdr:cNvPr id="8" name="TextBox 7"/>
        <xdr:cNvSpPr txBox="1"/>
      </xdr:nvSpPr>
      <xdr:spPr>
        <a:xfrm>
          <a:off x="628649" y="2219325"/>
          <a:ext cx="2505076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BD890F42-ECA7-446E-9116-8340EA43AE88}" type="TxLink">
            <a:rPr lang="ru-RU" sz="1050"/>
            <a:pPr/>
            <a:t> </a:t>
          </a:fld>
          <a:endParaRPr lang="ru-RU" sz="1050"/>
        </a:p>
      </xdr:txBody>
    </xdr:sp>
    <xdr:clientData/>
  </xdr:oneCellAnchor>
  <xdr:oneCellAnchor>
    <xdr:from>
      <xdr:col>0</xdr:col>
      <xdr:colOff>628649</xdr:colOff>
      <xdr:row>12</xdr:row>
      <xdr:rowOff>123825</xdr:rowOff>
    </xdr:from>
    <xdr:ext cx="2486025" cy="256737"/>
    <xdr:sp macro="" textlink="$B$32">
      <xdr:nvSpPr>
        <xdr:cNvPr id="9" name="TextBox 8"/>
        <xdr:cNvSpPr txBox="1"/>
      </xdr:nvSpPr>
      <xdr:spPr>
        <a:xfrm>
          <a:off x="628649" y="2524125"/>
          <a:ext cx="2486025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9824918-969D-408F-B96E-F68F322019E1}" type="TxLink">
            <a:rPr lang="ru-RU" sz="1050"/>
            <a:pPr/>
            <a:t> </a:t>
          </a:fld>
          <a:endParaRPr lang="ru-RU" sz="1050"/>
        </a:p>
      </xdr:txBody>
    </xdr:sp>
    <xdr:clientData/>
  </xdr:oneCellAnchor>
  <xdr:oneCellAnchor>
    <xdr:from>
      <xdr:col>0</xdr:col>
      <xdr:colOff>628650</xdr:colOff>
      <xdr:row>14</xdr:row>
      <xdr:rowOff>19050</xdr:rowOff>
    </xdr:from>
    <xdr:ext cx="2514600" cy="256737"/>
    <xdr:sp macro="" textlink="$B$33">
      <xdr:nvSpPr>
        <xdr:cNvPr id="10" name="TextBox 9"/>
        <xdr:cNvSpPr txBox="1"/>
      </xdr:nvSpPr>
      <xdr:spPr>
        <a:xfrm>
          <a:off x="628650" y="2819400"/>
          <a:ext cx="2514600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BAC850CA-7DC4-43DF-A8FC-A07349A102BC}" type="TxLink">
            <a:rPr lang="ru-RU" sz="1050"/>
            <a:pPr/>
            <a:t> </a:t>
          </a:fld>
          <a:endParaRPr lang="ru-RU" sz="1050"/>
        </a:p>
      </xdr:txBody>
    </xdr:sp>
    <xdr:clientData/>
  </xdr:oneCellAnchor>
  <xdr:oneCellAnchor>
    <xdr:from>
      <xdr:col>0</xdr:col>
      <xdr:colOff>619125</xdr:colOff>
      <xdr:row>15</xdr:row>
      <xdr:rowOff>114300</xdr:rowOff>
    </xdr:from>
    <xdr:ext cx="2514600" cy="256737"/>
    <xdr:sp macro="" textlink="$B$34">
      <xdr:nvSpPr>
        <xdr:cNvPr id="11" name="TextBox 10"/>
        <xdr:cNvSpPr txBox="1"/>
      </xdr:nvSpPr>
      <xdr:spPr>
        <a:xfrm>
          <a:off x="619125" y="3114675"/>
          <a:ext cx="2514600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D1AADD2-61C7-47AB-9E36-98D75972F71A}" type="TxLink">
            <a:rPr lang="ru-RU" sz="1050"/>
            <a:pPr/>
            <a:t> </a:t>
          </a:fld>
          <a:endParaRPr lang="ru-RU" sz="1050"/>
        </a:p>
      </xdr:txBody>
    </xdr:sp>
    <xdr:clientData/>
  </xdr:oneCellAnchor>
  <xdr:oneCellAnchor>
    <xdr:from>
      <xdr:col>4</xdr:col>
      <xdr:colOff>523875</xdr:colOff>
      <xdr:row>6</xdr:row>
      <xdr:rowOff>123825</xdr:rowOff>
    </xdr:from>
    <xdr:ext cx="298928" cy="264560"/>
    <xdr:sp macro="" textlink="$C$28">
      <xdr:nvSpPr>
        <xdr:cNvPr id="4" name="TextBox 3"/>
        <xdr:cNvSpPr txBox="1"/>
      </xdr:nvSpPr>
      <xdr:spPr>
        <a:xfrm>
          <a:off x="3267075" y="1323975"/>
          <a:ext cx="29892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1C37BA63-AD39-4E7A-867E-0964CA8DEC26}" type="TxLink">
            <a:rPr lang="ru-RU" sz="1100" b="0"/>
            <a:pPr/>
            <a:t>кг</a:t>
          </a:fld>
          <a:endParaRPr lang="ru-RU" sz="1100" b="0"/>
        </a:p>
      </xdr:txBody>
    </xdr:sp>
    <xdr:clientData/>
  </xdr:oneCellAnchor>
  <xdr:oneCellAnchor>
    <xdr:from>
      <xdr:col>4</xdr:col>
      <xdr:colOff>523875</xdr:colOff>
      <xdr:row>8</xdr:row>
      <xdr:rowOff>19050</xdr:rowOff>
    </xdr:from>
    <xdr:ext cx="216534" cy="264560"/>
    <xdr:sp macro="" textlink="$C$29">
      <xdr:nvSpPr>
        <xdr:cNvPr id="12" name="TextBox 11"/>
        <xdr:cNvSpPr txBox="1"/>
      </xdr:nvSpPr>
      <xdr:spPr>
        <a:xfrm>
          <a:off x="3267075" y="161925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C8C391F-539D-4919-B34E-330286B2E90D}" type="TxLink">
            <a:rPr lang="ru-RU" sz="1100" b="0"/>
            <a:pPr/>
            <a:t> </a:t>
          </a:fld>
          <a:endParaRPr lang="ru-RU" sz="1100" b="0"/>
        </a:p>
      </xdr:txBody>
    </xdr:sp>
    <xdr:clientData/>
  </xdr:oneCellAnchor>
  <xdr:oneCellAnchor>
    <xdr:from>
      <xdr:col>4</xdr:col>
      <xdr:colOff>523875</xdr:colOff>
      <xdr:row>9</xdr:row>
      <xdr:rowOff>114300</xdr:rowOff>
    </xdr:from>
    <xdr:ext cx="216534" cy="264560"/>
    <xdr:sp macro="" textlink="$C$30">
      <xdr:nvSpPr>
        <xdr:cNvPr id="13" name="TextBox 12"/>
        <xdr:cNvSpPr txBox="1"/>
      </xdr:nvSpPr>
      <xdr:spPr>
        <a:xfrm>
          <a:off x="3267075" y="1914525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501851DD-3F57-4CCA-AEC1-07CB5BC3079D}" type="TxLink">
            <a:rPr lang="ru-RU" sz="1100" b="0"/>
            <a:pPr/>
            <a:t> </a:t>
          </a:fld>
          <a:endParaRPr lang="ru-RU" sz="1100" b="0"/>
        </a:p>
      </xdr:txBody>
    </xdr:sp>
    <xdr:clientData/>
  </xdr:oneCellAnchor>
  <xdr:oneCellAnchor>
    <xdr:from>
      <xdr:col>4</xdr:col>
      <xdr:colOff>523875</xdr:colOff>
      <xdr:row>11</xdr:row>
      <xdr:rowOff>9525</xdr:rowOff>
    </xdr:from>
    <xdr:ext cx="216534" cy="264560"/>
    <xdr:sp macro="" textlink="$C$31">
      <xdr:nvSpPr>
        <xdr:cNvPr id="14" name="TextBox 13"/>
        <xdr:cNvSpPr txBox="1"/>
      </xdr:nvSpPr>
      <xdr:spPr>
        <a:xfrm>
          <a:off x="3267075" y="220980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331E809-2148-425E-8EE1-69545189A837}" type="TxLink">
            <a:rPr lang="ru-RU" sz="1100" b="0"/>
            <a:pPr/>
            <a:t> </a:t>
          </a:fld>
          <a:endParaRPr lang="ru-RU" sz="1100" b="0"/>
        </a:p>
      </xdr:txBody>
    </xdr:sp>
    <xdr:clientData/>
  </xdr:oneCellAnchor>
  <xdr:oneCellAnchor>
    <xdr:from>
      <xdr:col>4</xdr:col>
      <xdr:colOff>523875</xdr:colOff>
      <xdr:row>12</xdr:row>
      <xdr:rowOff>104775</xdr:rowOff>
    </xdr:from>
    <xdr:ext cx="216534" cy="264560"/>
    <xdr:sp macro="" textlink="$C$32">
      <xdr:nvSpPr>
        <xdr:cNvPr id="15" name="TextBox 14"/>
        <xdr:cNvSpPr txBox="1"/>
      </xdr:nvSpPr>
      <xdr:spPr>
        <a:xfrm>
          <a:off x="3267075" y="2505075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59DF1E-8B30-456B-B71C-85F60DB7379A}" type="TxLink">
            <a:rPr lang="ru-RU" sz="1100" b="0"/>
            <a:pPr/>
            <a:t> </a:t>
          </a:fld>
          <a:endParaRPr lang="ru-RU" sz="1100" b="0"/>
        </a:p>
      </xdr:txBody>
    </xdr:sp>
    <xdr:clientData/>
  </xdr:oneCellAnchor>
  <xdr:oneCellAnchor>
    <xdr:from>
      <xdr:col>4</xdr:col>
      <xdr:colOff>523875</xdr:colOff>
      <xdr:row>14</xdr:row>
      <xdr:rowOff>0</xdr:rowOff>
    </xdr:from>
    <xdr:ext cx="216534" cy="264560"/>
    <xdr:sp macro="" textlink="$C$33">
      <xdr:nvSpPr>
        <xdr:cNvPr id="16" name="TextBox 15"/>
        <xdr:cNvSpPr txBox="1"/>
      </xdr:nvSpPr>
      <xdr:spPr>
        <a:xfrm>
          <a:off x="3267075" y="280035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CAB24744-3835-4B10-A792-7F2A66E65B09}" type="TxLink">
            <a:rPr lang="ru-RU" sz="1100" b="0"/>
            <a:pPr/>
            <a:t> </a:t>
          </a:fld>
          <a:endParaRPr lang="ru-RU" sz="1100" b="0"/>
        </a:p>
      </xdr:txBody>
    </xdr:sp>
    <xdr:clientData/>
  </xdr:oneCellAnchor>
  <xdr:oneCellAnchor>
    <xdr:from>
      <xdr:col>4</xdr:col>
      <xdr:colOff>523875</xdr:colOff>
      <xdr:row>15</xdr:row>
      <xdr:rowOff>95250</xdr:rowOff>
    </xdr:from>
    <xdr:ext cx="216534" cy="264560"/>
    <xdr:sp macro="" textlink="$C$34">
      <xdr:nvSpPr>
        <xdr:cNvPr id="17" name="TextBox 16"/>
        <xdr:cNvSpPr txBox="1"/>
      </xdr:nvSpPr>
      <xdr:spPr>
        <a:xfrm>
          <a:off x="3267075" y="3095625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B2596AC0-100A-463F-A12F-9DE290D259A4}" type="TxLink">
            <a:rPr lang="ru-RU" sz="1100" b="0"/>
            <a:pPr/>
            <a:t> </a:t>
          </a:fld>
          <a:endParaRPr lang="ru-RU" sz="1100" b="0"/>
        </a:p>
      </xdr:txBody>
    </xdr:sp>
    <xdr:clientData/>
  </xdr:oneCellAnchor>
  <xdr:oneCellAnchor>
    <xdr:from>
      <xdr:col>0</xdr:col>
      <xdr:colOff>200025</xdr:colOff>
      <xdr:row>7</xdr:row>
      <xdr:rowOff>19050</xdr:rowOff>
    </xdr:from>
    <xdr:ext cx="256160" cy="264560"/>
    <xdr:sp macro="" textlink="$G$28">
      <xdr:nvSpPr>
        <xdr:cNvPr id="20" name="TextBox 19"/>
        <xdr:cNvSpPr txBox="1"/>
      </xdr:nvSpPr>
      <xdr:spPr>
        <a:xfrm>
          <a:off x="200025" y="1419225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F217DD8-923B-4570-B449-668ABD8BBFC0}" type="TxLink">
            <a:rPr lang="ru-RU" sz="1100"/>
            <a:pPr/>
            <a:t>1</a:t>
          </a:fld>
          <a:endParaRPr lang="ru-RU" sz="1100"/>
        </a:p>
      </xdr:txBody>
    </xdr:sp>
    <xdr:clientData/>
  </xdr:oneCellAnchor>
  <xdr:oneCellAnchor>
    <xdr:from>
      <xdr:col>5</xdr:col>
      <xdr:colOff>323850</xdr:colOff>
      <xdr:row>6</xdr:row>
      <xdr:rowOff>123824</xdr:rowOff>
    </xdr:from>
    <xdr:ext cx="1647825" cy="476251"/>
    <xdr:sp macro="" textlink="$D$28">
      <xdr:nvSpPr>
        <xdr:cNvPr id="21" name="TextBox 20"/>
        <xdr:cNvSpPr txBox="1"/>
      </xdr:nvSpPr>
      <xdr:spPr>
        <a:xfrm>
          <a:off x="3752850" y="1323974"/>
          <a:ext cx="1647825" cy="4762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square" numCol="1" spcCol="0" rtlCol="0" anchor="t">
          <a:noAutofit/>
        </a:bodyPr>
        <a:lstStyle/>
        <a:p>
          <a:fld id="{705170D3-D6EF-41FB-8A84-9E2DBBDBD17E}" type="TxLink">
            <a:rPr lang="ru-RU" sz="1100"/>
            <a:pPr/>
            <a:t>400 (четыреста)</a:t>
          </a:fld>
          <a:endParaRPr lang="ru-RU" sz="1100"/>
        </a:p>
      </xdr:txBody>
    </xdr:sp>
    <xdr:clientData/>
  </xdr:oneCellAnchor>
  <xdr:oneCellAnchor>
    <xdr:from>
      <xdr:col>5</xdr:col>
      <xdr:colOff>323851</xdr:colOff>
      <xdr:row>8</xdr:row>
      <xdr:rowOff>19050</xdr:rowOff>
    </xdr:from>
    <xdr:ext cx="1657350" cy="361950"/>
    <xdr:sp macro="" textlink="$D$29">
      <xdr:nvSpPr>
        <xdr:cNvPr id="22" name="TextBox 21"/>
        <xdr:cNvSpPr txBox="1"/>
      </xdr:nvSpPr>
      <xdr:spPr>
        <a:xfrm>
          <a:off x="3752851" y="1619250"/>
          <a:ext cx="1657350" cy="3619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square" rtlCol="0" anchor="t">
          <a:noAutofit/>
        </a:bodyPr>
        <a:lstStyle/>
        <a:p>
          <a:fld id="{EDBE22B5-5CCA-41BF-97E3-D8D9AEBA4ED5}" type="TxLink">
            <a:rPr lang="ru-RU" sz="1100"/>
            <a:pPr/>
            <a:t> </a:t>
          </a:fld>
          <a:endParaRPr lang="ru-RU" sz="1100"/>
        </a:p>
      </xdr:txBody>
    </xdr:sp>
    <xdr:clientData/>
  </xdr:oneCellAnchor>
  <xdr:oneCellAnchor>
    <xdr:from>
      <xdr:col>5</xdr:col>
      <xdr:colOff>323850</xdr:colOff>
      <xdr:row>9</xdr:row>
      <xdr:rowOff>114300</xdr:rowOff>
    </xdr:from>
    <xdr:ext cx="1609725" cy="381000"/>
    <xdr:sp macro="" textlink="$D$30">
      <xdr:nvSpPr>
        <xdr:cNvPr id="23" name="TextBox 22"/>
        <xdr:cNvSpPr txBox="1"/>
      </xdr:nvSpPr>
      <xdr:spPr>
        <a:xfrm>
          <a:off x="3752850" y="1914525"/>
          <a:ext cx="1609725" cy="381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square" rtlCol="0" anchor="t">
          <a:noAutofit/>
        </a:bodyPr>
        <a:lstStyle/>
        <a:p>
          <a:fld id="{47C32BFF-2C98-4CC9-A77D-52F77E2E2C99}" type="TxLink">
            <a:rPr lang="ru-RU" sz="1100"/>
            <a:pPr/>
            <a:t> </a:t>
          </a:fld>
          <a:endParaRPr lang="ru-RU" sz="1100"/>
        </a:p>
      </xdr:txBody>
    </xdr:sp>
    <xdr:clientData/>
  </xdr:oneCellAnchor>
  <xdr:oneCellAnchor>
    <xdr:from>
      <xdr:col>5</xdr:col>
      <xdr:colOff>323850</xdr:colOff>
      <xdr:row>11</xdr:row>
      <xdr:rowOff>9525</xdr:rowOff>
    </xdr:from>
    <xdr:ext cx="1609725" cy="419100"/>
    <xdr:sp macro="" textlink="$D$31">
      <xdr:nvSpPr>
        <xdr:cNvPr id="24" name="TextBox 23"/>
        <xdr:cNvSpPr txBox="1"/>
      </xdr:nvSpPr>
      <xdr:spPr>
        <a:xfrm>
          <a:off x="3752850" y="2209800"/>
          <a:ext cx="1609725" cy="419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square" rtlCol="0" anchor="t">
          <a:noAutofit/>
        </a:bodyPr>
        <a:lstStyle/>
        <a:p>
          <a:fld id="{EB07A942-6C5B-45C8-8DD1-033EA67464DC}" type="TxLink">
            <a:rPr lang="ru-RU" sz="1100"/>
            <a:pPr/>
            <a:t> </a:t>
          </a:fld>
          <a:endParaRPr lang="ru-RU" sz="1100"/>
        </a:p>
      </xdr:txBody>
    </xdr:sp>
    <xdr:clientData/>
  </xdr:oneCellAnchor>
  <xdr:oneCellAnchor>
    <xdr:from>
      <xdr:col>5</xdr:col>
      <xdr:colOff>323850</xdr:colOff>
      <xdr:row>12</xdr:row>
      <xdr:rowOff>104774</xdr:rowOff>
    </xdr:from>
    <xdr:ext cx="1609725" cy="390526"/>
    <xdr:sp macro="" textlink="$D$32">
      <xdr:nvSpPr>
        <xdr:cNvPr id="25" name="TextBox 24"/>
        <xdr:cNvSpPr txBox="1"/>
      </xdr:nvSpPr>
      <xdr:spPr>
        <a:xfrm>
          <a:off x="3752850" y="2505074"/>
          <a:ext cx="1609725" cy="3905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square" rtlCol="0" anchor="t">
          <a:noAutofit/>
        </a:bodyPr>
        <a:lstStyle/>
        <a:p>
          <a:fld id="{0A2FC4DE-B355-44EC-8264-8DDBED1A769F}" type="TxLink">
            <a:rPr lang="ru-RU" sz="1100"/>
            <a:pPr/>
            <a:t> </a:t>
          </a:fld>
          <a:endParaRPr lang="ru-RU" sz="1100"/>
        </a:p>
      </xdr:txBody>
    </xdr:sp>
    <xdr:clientData/>
  </xdr:oneCellAnchor>
  <xdr:oneCellAnchor>
    <xdr:from>
      <xdr:col>5</xdr:col>
      <xdr:colOff>323850</xdr:colOff>
      <xdr:row>13</xdr:row>
      <xdr:rowOff>190499</xdr:rowOff>
    </xdr:from>
    <xdr:ext cx="1609725" cy="390526"/>
    <xdr:sp macro="" textlink="$D$33">
      <xdr:nvSpPr>
        <xdr:cNvPr id="26" name="TextBox 25"/>
        <xdr:cNvSpPr txBox="1"/>
      </xdr:nvSpPr>
      <xdr:spPr>
        <a:xfrm>
          <a:off x="3752850" y="2790824"/>
          <a:ext cx="1609725" cy="3905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square" rtlCol="0" anchor="t">
          <a:noAutofit/>
        </a:bodyPr>
        <a:lstStyle/>
        <a:p>
          <a:fld id="{7800D849-F467-4FDD-8D14-FA8E8979A624}" type="TxLink">
            <a:rPr lang="ru-RU" sz="1100"/>
            <a:pPr/>
            <a:t> </a:t>
          </a:fld>
          <a:endParaRPr lang="ru-RU" sz="1100"/>
        </a:p>
      </xdr:txBody>
    </xdr:sp>
    <xdr:clientData/>
  </xdr:oneCellAnchor>
  <xdr:oneCellAnchor>
    <xdr:from>
      <xdr:col>5</xdr:col>
      <xdr:colOff>323850</xdr:colOff>
      <xdr:row>15</xdr:row>
      <xdr:rowOff>95249</xdr:rowOff>
    </xdr:from>
    <xdr:ext cx="1609725" cy="409575"/>
    <xdr:sp macro="" textlink="$D$34">
      <xdr:nvSpPr>
        <xdr:cNvPr id="27" name="TextBox 26"/>
        <xdr:cNvSpPr txBox="1"/>
      </xdr:nvSpPr>
      <xdr:spPr>
        <a:xfrm>
          <a:off x="3752850" y="3095624"/>
          <a:ext cx="1609725" cy="4095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square" rtlCol="0" anchor="t">
          <a:noAutofit/>
        </a:bodyPr>
        <a:lstStyle/>
        <a:p>
          <a:fld id="{34B902BE-E4CB-4049-9387-ACDCFBD0F9F8}" type="TxLink">
            <a:rPr lang="ru-RU" sz="1100"/>
            <a:pPr/>
            <a:t> </a:t>
          </a:fld>
          <a:endParaRPr lang="ru-RU" sz="1100"/>
        </a:p>
      </xdr:txBody>
    </xdr:sp>
    <xdr:clientData/>
  </xdr:oneCellAnchor>
  <xdr:oneCellAnchor>
    <xdr:from>
      <xdr:col>0</xdr:col>
      <xdr:colOff>200025</xdr:colOff>
      <xdr:row>8</xdr:row>
      <xdr:rowOff>114300</xdr:rowOff>
    </xdr:from>
    <xdr:ext cx="216534" cy="264560"/>
    <xdr:sp macro="" textlink="$G$29">
      <xdr:nvSpPr>
        <xdr:cNvPr id="28" name="TextBox 27"/>
        <xdr:cNvSpPr txBox="1"/>
      </xdr:nvSpPr>
      <xdr:spPr>
        <a:xfrm>
          <a:off x="200025" y="171450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690668E-F594-4029-85D8-7620E7E096F6}" type="TxLink">
            <a:rPr lang="ru-RU" sz="1100"/>
            <a:pPr/>
            <a:t> </a:t>
          </a:fld>
          <a:endParaRPr lang="ru-RU" sz="1100"/>
        </a:p>
      </xdr:txBody>
    </xdr:sp>
    <xdr:clientData/>
  </xdr:oneCellAnchor>
  <xdr:oneCellAnchor>
    <xdr:from>
      <xdr:col>0</xdr:col>
      <xdr:colOff>200025</xdr:colOff>
      <xdr:row>10</xdr:row>
      <xdr:rowOff>0</xdr:rowOff>
    </xdr:from>
    <xdr:ext cx="216534" cy="264560"/>
    <xdr:sp macro="" textlink="$G$30">
      <xdr:nvSpPr>
        <xdr:cNvPr id="29" name="TextBox 28"/>
        <xdr:cNvSpPr txBox="1"/>
      </xdr:nvSpPr>
      <xdr:spPr>
        <a:xfrm>
          <a:off x="200025" y="200025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0EFDEA4-C07F-4D67-9C3A-73A7FB1273F3}" type="TxLink">
            <a:rPr lang="ru-RU" sz="1100"/>
            <a:pPr/>
            <a:t> </a:t>
          </a:fld>
          <a:endParaRPr lang="ru-RU" sz="1100"/>
        </a:p>
      </xdr:txBody>
    </xdr:sp>
    <xdr:clientData/>
  </xdr:oneCellAnchor>
  <xdr:oneCellAnchor>
    <xdr:from>
      <xdr:col>0</xdr:col>
      <xdr:colOff>200025</xdr:colOff>
      <xdr:row>11</xdr:row>
      <xdr:rowOff>104775</xdr:rowOff>
    </xdr:from>
    <xdr:ext cx="216534" cy="264560"/>
    <xdr:sp macro="" textlink="$G$31">
      <xdr:nvSpPr>
        <xdr:cNvPr id="30" name="TextBox 29"/>
        <xdr:cNvSpPr txBox="1"/>
      </xdr:nvSpPr>
      <xdr:spPr>
        <a:xfrm>
          <a:off x="200025" y="230505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440A0041-968C-449C-82C9-4DAB0BB8836C}" type="TxLink">
            <a:rPr lang="ru-RU" sz="1100"/>
            <a:pPr/>
            <a:t> </a:t>
          </a:fld>
          <a:endParaRPr lang="ru-RU" sz="1100"/>
        </a:p>
      </xdr:txBody>
    </xdr:sp>
    <xdr:clientData/>
  </xdr:oneCellAnchor>
  <xdr:oneCellAnchor>
    <xdr:from>
      <xdr:col>0</xdr:col>
      <xdr:colOff>200025</xdr:colOff>
      <xdr:row>13</xdr:row>
      <xdr:rowOff>0</xdr:rowOff>
    </xdr:from>
    <xdr:ext cx="216534" cy="264560"/>
    <xdr:sp macro="" textlink="$G$32">
      <xdr:nvSpPr>
        <xdr:cNvPr id="31" name="TextBox 30"/>
        <xdr:cNvSpPr txBox="1"/>
      </xdr:nvSpPr>
      <xdr:spPr>
        <a:xfrm>
          <a:off x="200025" y="2600325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B30A2207-D2DB-44AB-9063-A51474BF1ED5}" type="TxLink">
            <a:rPr lang="ru-RU" sz="1100"/>
            <a:pPr/>
            <a:t> </a:t>
          </a:fld>
          <a:endParaRPr lang="ru-RU" sz="1100"/>
        </a:p>
      </xdr:txBody>
    </xdr:sp>
    <xdr:clientData/>
  </xdr:oneCellAnchor>
  <xdr:oneCellAnchor>
    <xdr:from>
      <xdr:col>0</xdr:col>
      <xdr:colOff>200025</xdr:colOff>
      <xdr:row>14</xdr:row>
      <xdr:rowOff>95250</xdr:rowOff>
    </xdr:from>
    <xdr:ext cx="216534" cy="264560"/>
    <xdr:sp macro="" textlink="$G$33">
      <xdr:nvSpPr>
        <xdr:cNvPr id="32" name="TextBox 31"/>
        <xdr:cNvSpPr txBox="1"/>
      </xdr:nvSpPr>
      <xdr:spPr>
        <a:xfrm>
          <a:off x="200025" y="289560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3401A302-258D-4366-AD1E-D81F0325287D}" type="TxLink">
            <a:rPr lang="ru-RU" sz="1100"/>
            <a:pPr/>
            <a:t> </a:t>
          </a:fld>
          <a:endParaRPr lang="ru-RU" sz="1100"/>
        </a:p>
      </xdr:txBody>
    </xdr:sp>
    <xdr:clientData/>
  </xdr:oneCellAnchor>
  <xdr:oneCellAnchor>
    <xdr:from>
      <xdr:col>0</xdr:col>
      <xdr:colOff>200025</xdr:colOff>
      <xdr:row>15</xdr:row>
      <xdr:rowOff>190500</xdr:rowOff>
    </xdr:from>
    <xdr:ext cx="216534" cy="264560"/>
    <xdr:sp macro="" textlink="$G$34">
      <xdr:nvSpPr>
        <xdr:cNvPr id="34" name="TextBox 33"/>
        <xdr:cNvSpPr txBox="1"/>
      </xdr:nvSpPr>
      <xdr:spPr>
        <a:xfrm>
          <a:off x="200025" y="3190875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5EF5E9F-2D8F-4918-AC27-2F41ED56CAA5}" type="TxLink">
            <a:rPr lang="ru-RU" sz="1100"/>
            <a:pPr/>
            <a:t> </a:t>
          </a:fld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B30"/>
  <sheetViews>
    <sheetView tabSelected="1" workbookViewId="0">
      <selection activeCell="R37" sqref="B34:R37"/>
    </sheetView>
  </sheetViews>
  <sheetFormatPr defaultRowHeight="15.75" x14ac:dyDescent="0.25"/>
  <cols>
    <col min="1" max="2" width="5.625" customWidth="1"/>
    <col min="3" max="3" width="7.5" customWidth="1"/>
    <col min="4" max="9" width="5.625" customWidth="1"/>
    <col min="10" max="10" width="5.875" customWidth="1"/>
    <col min="11" max="11" width="5.75" customWidth="1"/>
    <col min="12" max="12" width="7.5" customWidth="1"/>
    <col min="13" max="13" width="8.625" customWidth="1"/>
    <col min="14" max="14" width="9.5" customWidth="1"/>
    <col min="15" max="15" width="7.125" customWidth="1"/>
    <col min="16" max="16" width="15.625" customWidth="1"/>
    <col min="17" max="17" width="4.25" customWidth="1"/>
    <col min="18" max="18" width="4.375" customWidth="1"/>
    <col min="19" max="19" width="5.5" customWidth="1"/>
  </cols>
  <sheetData>
    <row r="1" spans="2:28" ht="16.5" thickBot="1" x14ac:dyDescent="0.3">
      <c r="E1" s="8" t="s">
        <v>48</v>
      </c>
      <c r="G1" s="7"/>
    </row>
    <row r="2" spans="2:28" ht="16.5" thickTop="1" x14ac:dyDescent="0.25">
      <c r="B2" s="11"/>
      <c r="C2" s="12" t="s">
        <v>100</v>
      </c>
      <c r="D2" s="13"/>
      <c r="E2" s="13"/>
      <c r="F2" s="13"/>
      <c r="G2" s="16"/>
      <c r="H2" s="11"/>
      <c r="I2" s="13"/>
      <c r="J2" s="13"/>
      <c r="K2" s="13"/>
      <c r="L2" s="13"/>
      <c r="M2" s="13"/>
      <c r="N2" s="13"/>
      <c r="O2" s="13"/>
      <c r="P2" s="13"/>
      <c r="Q2" s="13"/>
      <c r="R2" s="27"/>
    </row>
    <row r="3" spans="2:28" x14ac:dyDescent="0.25">
      <c r="B3" s="15"/>
      <c r="C3" s="16"/>
      <c r="D3" s="18" t="s">
        <v>57</v>
      </c>
      <c r="E3" s="16"/>
      <c r="F3" s="17"/>
      <c r="G3" s="16"/>
      <c r="H3" s="15"/>
      <c r="I3" s="16"/>
      <c r="J3" s="17"/>
      <c r="K3" s="16"/>
      <c r="L3" s="16"/>
      <c r="M3" s="18" t="s">
        <v>60</v>
      </c>
      <c r="N3" s="16"/>
      <c r="O3" s="16"/>
      <c r="P3" s="16"/>
      <c r="Q3" s="16"/>
      <c r="R3" s="14"/>
    </row>
    <row r="4" spans="2:28" x14ac:dyDescent="0.25">
      <c r="B4" s="15"/>
      <c r="C4" s="16"/>
      <c r="D4" s="16"/>
      <c r="E4" s="16"/>
      <c r="F4" s="16"/>
      <c r="G4" s="16"/>
      <c r="H4" s="15"/>
      <c r="I4" s="16"/>
      <c r="J4" s="16"/>
      <c r="K4" s="16"/>
      <c r="L4" s="16"/>
      <c r="M4" s="16"/>
      <c r="N4" s="16"/>
      <c r="O4" s="16"/>
      <c r="P4" s="16"/>
      <c r="Q4" s="16"/>
      <c r="R4" s="14"/>
    </row>
    <row r="5" spans="2:28" x14ac:dyDescent="0.25">
      <c r="B5" s="15"/>
      <c r="C5" s="18" t="s">
        <v>28</v>
      </c>
      <c r="D5" s="16"/>
      <c r="E5" s="16"/>
      <c r="F5" s="16"/>
      <c r="G5" s="16"/>
      <c r="H5" s="15"/>
      <c r="I5" s="18" t="s">
        <v>59</v>
      </c>
      <c r="J5" s="17"/>
      <c r="K5" s="16"/>
      <c r="L5" s="33">
        <v>1</v>
      </c>
      <c r="M5" s="16"/>
      <c r="N5" s="16"/>
      <c r="O5" s="18" t="s">
        <v>58</v>
      </c>
      <c r="P5" s="18" t="s">
        <v>56</v>
      </c>
      <c r="Q5" s="16"/>
      <c r="R5" s="14"/>
      <c r="Z5" s="31"/>
      <c r="AA5" s="31"/>
      <c r="AB5" s="31"/>
    </row>
    <row r="6" spans="2:28" x14ac:dyDescent="0.25">
      <c r="B6" s="19" t="s">
        <v>26</v>
      </c>
      <c r="C6" s="9" t="s">
        <v>54</v>
      </c>
      <c r="D6" s="10" t="s">
        <v>114</v>
      </c>
      <c r="E6" s="41" t="s">
        <v>111</v>
      </c>
      <c r="F6" s="16"/>
      <c r="G6" s="16"/>
      <c r="H6" s="15"/>
      <c r="I6" s="40">
        <v>1</v>
      </c>
      <c r="J6" s="95" t="s">
        <v>122</v>
      </c>
      <c r="K6" s="93"/>
      <c r="L6" s="93"/>
      <c r="M6" s="93"/>
      <c r="N6" s="93"/>
      <c r="O6" s="81" t="s">
        <v>123</v>
      </c>
      <c r="P6" s="79" t="s">
        <v>124</v>
      </c>
      <c r="Q6" s="16"/>
      <c r="R6" s="14"/>
      <c r="Z6" s="31"/>
      <c r="AA6" s="31"/>
      <c r="AB6" s="31"/>
    </row>
    <row r="7" spans="2:28" x14ac:dyDescent="0.25">
      <c r="B7" s="19" t="s">
        <v>25</v>
      </c>
      <c r="C7" s="9" t="s">
        <v>120</v>
      </c>
      <c r="D7" s="10" t="s">
        <v>114</v>
      </c>
      <c r="E7" s="41" t="s">
        <v>111</v>
      </c>
      <c r="F7" s="16"/>
      <c r="G7" s="16"/>
      <c r="H7" s="15"/>
      <c r="I7" s="40"/>
      <c r="J7" s="95"/>
      <c r="K7" s="93"/>
      <c r="L7" s="93"/>
      <c r="M7" s="93"/>
      <c r="N7" s="93"/>
      <c r="O7" s="81"/>
      <c r="P7" s="79"/>
      <c r="Q7" s="16"/>
      <c r="R7" s="14"/>
      <c r="Z7" s="31"/>
      <c r="AA7" s="31"/>
      <c r="AB7" s="31"/>
    </row>
    <row r="8" spans="2:28" x14ac:dyDescent="0.25">
      <c r="B8" s="15"/>
      <c r="C8" s="16"/>
      <c r="D8" s="16"/>
      <c r="E8" s="16"/>
      <c r="F8" s="16"/>
      <c r="G8" s="16"/>
      <c r="H8" s="15"/>
      <c r="I8" s="40"/>
      <c r="J8" s="95" t="s">
        <v>50</v>
      </c>
      <c r="K8" s="93"/>
      <c r="L8" s="93"/>
      <c r="M8" s="93"/>
      <c r="N8" s="93"/>
      <c r="O8" s="32" t="s">
        <v>50</v>
      </c>
      <c r="P8" s="79" t="s">
        <v>50</v>
      </c>
      <c r="Q8" s="16"/>
      <c r="R8" s="14"/>
    </row>
    <row r="9" spans="2:28" x14ac:dyDescent="0.25">
      <c r="B9" s="15"/>
      <c r="C9" s="16"/>
      <c r="D9" s="16"/>
      <c r="E9" s="16"/>
      <c r="F9" s="16"/>
      <c r="G9" s="16"/>
      <c r="H9" s="15"/>
      <c r="I9" s="40" t="s">
        <v>50</v>
      </c>
      <c r="J9" s="93" t="s">
        <v>50</v>
      </c>
      <c r="K9" s="93"/>
      <c r="L9" s="93"/>
      <c r="M9" s="93"/>
      <c r="N9" s="93"/>
      <c r="O9" s="32" t="s">
        <v>50</v>
      </c>
      <c r="P9" s="79" t="s">
        <v>50</v>
      </c>
      <c r="Q9" s="16"/>
      <c r="R9" s="14"/>
    </row>
    <row r="10" spans="2:28" x14ac:dyDescent="0.25">
      <c r="B10" s="15"/>
      <c r="C10" s="18" t="s">
        <v>27</v>
      </c>
      <c r="D10" s="16"/>
      <c r="E10" s="16"/>
      <c r="F10" s="16"/>
      <c r="G10" s="16"/>
      <c r="H10" s="15"/>
      <c r="I10" s="40" t="s">
        <v>50</v>
      </c>
      <c r="J10" s="93" t="s">
        <v>50</v>
      </c>
      <c r="K10" s="93"/>
      <c r="L10" s="93"/>
      <c r="M10" s="93"/>
      <c r="N10" s="93"/>
      <c r="O10" s="32" t="s">
        <v>50</v>
      </c>
      <c r="P10" s="79" t="s">
        <v>50</v>
      </c>
      <c r="Q10" s="16"/>
      <c r="R10" s="14"/>
    </row>
    <row r="11" spans="2:28" x14ac:dyDescent="0.25">
      <c r="B11" s="15"/>
      <c r="C11" s="16"/>
      <c r="D11" s="16"/>
      <c r="E11" s="16"/>
      <c r="F11" s="16"/>
      <c r="G11" s="16"/>
      <c r="H11" s="15"/>
      <c r="I11" s="40" t="s">
        <v>50</v>
      </c>
      <c r="J11" s="93" t="s">
        <v>50</v>
      </c>
      <c r="K11" s="93"/>
      <c r="L11" s="93"/>
      <c r="M11" s="93"/>
      <c r="N11" s="93"/>
      <c r="O11" s="32" t="s">
        <v>50</v>
      </c>
      <c r="P11" s="79" t="s">
        <v>50</v>
      </c>
      <c r="Q11" s="16"/>
      <c r="R11" s="14"/>
    </row>
    <row r="12" spans="2:28" x14ac:dyDescent="0.25">
      <c r="B12" s="15"/>
      <c r="C12" s="16"/>
      <c r="D12" s="16"/>
      <c r="E12" s="16"/>
      <c r="F12" s="16"/>
      <c r="G12" s="16"/>
      <c r="H12" s="15"/>
      <c r="I12" s="40" t="s">
        <v>50</v>
      </c>
      <c r="J12" s="93" t="s">
        <v>50</v>
      </c>
      <c r="K12" s="93"/>
      <c r="L12" s="93"/>
      <c r="M12" s="93"/>
      <c r="N12" s="93"/>
      <c r="O12" s="32" t="s">
        <v>50</v>
      </c>
      <c r="P12" s="79" t="s">
        <v>50</v>
      </c>
      <c r="Q12" s="16"/>
      <c r="R12" s="14"/>
    </row>
    <row r="13" spans="2:28" x14ac:dyDescent="0.25">
      <c r="B13" s="15"/>
      <c r="C13" s="34" t="s">
        <v>61</v>
      </c>
      <c r="D13" s="17"/>
      <c r="E13" s="17"/>
      <c r="F13" s="17"/>
      <c r="G13" s="16"/>
      <c r="H13" s="15"/>
      <c r="I13" s="16"/>
      <c r="J13" s="16"/>
      <c r="K13" s="16"/>
      <c r="L13" s="16"/>
      <c r="M13" s="16"/>
      <c r="N13" s="16"/>
      <c r="O13" s="16"/>
      <c r="P13" s="16"/>
      <c r="Q13" s="16"/>
      <c r="R13" s="14"/>
    </row>
    <row r="14" spans="2:28" x14ac:dyDescent="0.25">
      <c r="B14" s="15" t="s">
        <v>50</v>
      </c>
      <c r="C14" s="94" t="s">
        <v>125</v>
      </c>
      <c r="D14" s="91"/>
      <c r="E14" s="91"/>
      <c r="F14" s="92"/>
      <c r="G14" s="14"/>
      <c r="H14" s="16"/>
      <c r="I14" s="16"/>
      <c r="J14" s="16"/>
      <c r="K14" s="16"/>
      <c r="L14" s="16"/>
      <c r="M14" s="16" t="s">
        <v>50</v>
      </c>
      <c r="N14" s="16"/>
      <c r="O14" s="16"/>
      <c r="P14" s="16"/>
      <c r="Q14" s="16"/>
      <c r="R14" s="14"/>
    </row>
    <row r="15" spans="2:28" x14ac:dyDescent="0.25">
      <c r="B15" s="15"/>
      <c r="C15" s="17" t="s">
        <v>50</v>
      </c>
      <c r="D15" s="17"/>
      <c r="E15" s="17"/>
      <c r="F15" s="17"/>
      <c r="G15" s="35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4"/>
    </row>
    <row r="16" spans="2:28" ht="16.5" thickBot="1" x14ac:dyDescent="0.3">
      <c r="B16" s="15"/>
      <c r="C16" s="18" t="s">
        <v>29</v>
      </c>
      <c r="D16" s="16"/>
      <c r="E16" s="16"/>
      <c r="F16" s="16"/>
      <c r="G16" s="16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4"/>
    </row>
    <row r="17" spans="1:18" ht="16.5" thickTop="1" x14ac:dyDescent="0.25">
      <c r="B17" s="15"/>
      <c r="C17" s="90" t="s">
        <v>121</v>
      </c>
      <c r="D17" s="91"/>
      <c r="E17" s="91"/>
      <c r="F17" s="92"/>
      <c r="G17" s="16"/>
      <c r="H17" s="11"/>
      <c r="I17" s="13"/>
      <c r="J17" s="13"/>
      <c r="K17" s="13"/>
      <c r="L17" s="13"/>
      <c r="M17" s="63" t="s">
        <v>97</v>
      </c>
      <c r="N17" s="13"/>
      <c r="O17" s="13"/>
      <c r="P17" s="13"/>
      <c r="Q17" s="13"/>
      <c r="R17" s="27"/>
    </row>
    <row r="18" spans="1:18" x14ac:dyDescent="0.25">
      <c r="B18" s="20"/>
      <c r="C18" s="17"/>
      <c r="D18" s="17"/>
      <c r="E18" s="17"/>
      <c r="F18" s="17"/>
      <c r="G18" s="21"/>
      <c r="H18" s="15"/>
      <c r="I18" s="17"/>
      <c r="J18" s="17"/>
      <c r="K18" s="18"/>
      <c r="L18" s="17"/>
      <c r="M18" s="17"/>
      <c r="N18" s="17"/>
      <c r="O18" s="17"/>
      <c r="P18" s="17"/>
      <c r="Q18" s="16"/>
      <c r="R18" s="14"/>
    </row>
    <row r="19" spans="1:18" x14ac:dyDescent="0.25">
      <c r="B19" s="15"/>
      <c r="C19" s="21"/>
      <c r="D19" s="21"/>
      <c r="E19" s="21"/>
      <c r="F19" s="21"/>
      <c r="G19" s="21"/>
      <c r="H19" s="15"/>
      <c r="I19" s="34" t="s">
        <v>101</v>
      </c>
      <c r="J19" s="17"/>
      <c r="K19" s="87" t="s">
        <v>116</v>
      </c>
      <c r="L19" s="88"/>
      <c r="M19" s="88"/>
      <c r="N19" s="88"/>
      <c r="O19" s="89"/>
      <c r="P19" s="70" t="s">
        <v>110</v>
      </c>
      <c r="Q19" s="16"/>
      <c r="R19" s="14"/>
    </row>
    <row r="20" spans="1:18" x14ac:dyDescent="0.25">
      <c r="B20" s="15"/>
      <c r="C20" s="21"/>
      <c r="D20" s="16"/>
      <c r="E20" s="16"/>
      <c r="F20" s="16"/>
      <c r="G20" s="16" t="s">
        <v>50</v>
      </c>
      <c r="H20" s="15"/>
      <c r="I20" s="17"/>
      <c r="J20" s="17"/>
      <c r="K20" s="17"/>
      <c r="L20" s="17"/>
      <c r="M20" s="17"/>
      <c r="N20" s="17"/>
      <c r="O20" s="17"/>
      <c r="P20" s="60"/>
      <c r="Q20" s="16"/>
      <c r="R20" s="14"/>
    </row>
    <row r="21" spans="1:18" ht="16.5" thickBot="1" x14ac:dyDescent="0.3">
      <c r="B21" s="22"/>
      <c r="C21" s="24"/>
      <c r="D21" s="24"/>
      <c r="E21" s="24"/>
      <c r="F21" s="24"/>
      <c r="G21" s="25"/>
      <c r="H21" s="15"/>
      <c r="I21" s="34" t="s">
        <v>102</v>
      </c>
      <c r="J21" s="17"/>
      <c r="K21" s="17" t="s">
        <v>99</v>
      </c>
      <c r="L21" s="77">
        <v>4803</v>
      </c>
      <c r="M21" s="60" t="s">
        <v>91</v>
      </c>
      <c r="N21" s="62" t="s">
        <v>115</v>
      </c>
      <c r="O21" s="17"/>
      <c r="P21" s="18"/>
      <c r="Q21" s="16"/>
      <c r="R21" s="14"/>
    </row>
    <row r="22" spans="1:18" ht="16.5" thickTop="1" x14ac:dyDescent="0.25">
      <c r="B22" s="15"/>
      <c r="C22" s="16"/>
      <c r="D22" s="16"/>
      <c r="E22" s="16"/>
      <c r="F22" s="16"/>
      <c r="G22" s="16"/>
      <c r="H22" s="15"/>
      <c r="I22" s="17"/>
      <c r="J22" s="17"/>
      <c r="K22" s="17"/>
      <c r="L22" s="17"/>
      <c r="M22" s="17"/>
      <c r="N22" s="17"/>
      <c r="O22" s="16"/>
      <c r="P22" s="17"/>
      <c r="Q22" s="16"/>
      <c r="R22" s="14"/>
    </row>
    <row r="23" spans="1:18" x14ac:dyDescent="0.25">
      <c r="B23" s="15"/>
      <c r="C23" s="16"/>
      <c r="D23" s="16"/>
      <c r="E23" s="16"/>
      <c r="F23" s="16"/>
      <c r="G23" s="16"/>
      <c r="H23" s="15"/>
      <c r="I23" s="34" t="s">
        <v>103</v>
      </c>
      <c r="J23" s="17"/>
      <c r="K23" s="87" t="s">
        <v>117</v>
      </c>
      <c r="L23" s="88"/>
      <c r="M23" s="88"/>
      <c r="N23" s="88"/>
      <c r="O23" s="89"/>
      <c r="P23" s="17"/>
      <c r="Q23" s="16"/>
      <c r="R23" s="14"/>
    </row>
    <row r="24" spans="1:18" x14ac:dyDescent="0.25">
      <c r="B24" s="15"/>
      <c r="C24" s="16"/>
      <c r="D24" s="16"/>
      <c r="E24" s="16"/>
      <c r="F24" s="16"/>
      <c r="G24" s="16"/>
      <c r="H24" s="15"/>
      <c r="I24" s="17"/>
      <c r="J24" s="17"/>
      <c r="K24" s="17"/>
      <c r="L24" s="17"/>
      <c r="M24" s="17"/>
      <c r="N24" s="17"/>
      <c r="O24" s="17"/>
      <c r="P24" s="17"/>
      <c r="Q24" s="16"/>
      <c r="R24" s="14"/>
    </row>
    <row r="25" spans="1:18" x14ac:dyDescent="0.25">
      <c r="A25" s="64"/>
      <c r="B25" s="16"/>
      <c r="C25" s="16"/>
      <c r="D25" s="16"/>
      <c r="E25" s="16"/>
      <c r="F25" s="16"/>
      <c r="G25" s="14"/>
      <c r="H25" s="17"/>
      <c r="I25" s="34"/>
      <c r="J25" s="61" t="s">
        <v>94</v>
      </c>
      <c r="K25" s="69">
        <v>6</v>
      </c>
      <c r="L25" s="60" t="s">
        <v>95</v>
      </c>
      <c r="M25" s="68" t="s">
        <v>114</v>
      </c>
      <c r="N25" s="60" t="s">
        <v>93</v>
      </c>
      <c r="O25" s="67" t="s">
        <v>35</v>
      </c>
      <c r="P25" s="17" t="s">
        <v>96</v>
      </c>
      <c r="Q25" s="17"/>
      <c r="R25" s="14"/>
    </row>
    <row r="26" spans="1:18" ht="16.5" thickBot="1" x14ac:dyDescent="0.3">
      <c r="A26" s="64"/>
      <c r="B26" s="22"/>
      <c r="C26" s="24"/>
      <c r="D26" s="24"/>
      <c r="E26" s="24"/>
      <c r="F26" s="24"/>
      <c r="G26" s="25"/>
      <c r="H26" s="22"/>
      <c r="I26" s="24"/>
      <c r="J26" s="24"/>
      <c r="K26" s="24"/>
      <c r="L26" s="24"/>
      <c r="M26" s="24"/>
      <c r="N26" s="24"/>
      <c r="O26" s="65"/>
      <c r="P26" s="24"/>
      <c r="Q26" s="24"/>
      <c r="R26" s="25"/>
    </row>
    <row r="27" spans="1:18" ht="16.5" customHeight="1" thickTop="1" x14ac:dyDescent="0.25">
      <c r="L27" s="66"/>
    </row>
    <row r="28" spans="1:18" ht="13.5" customHeight="1" x14ac:dyDescent="0.25">
      <c r="G28" s="36" t="s">
        <v>47</v>
      </c>
      <c r="H28" s="36"/>
      <c r="I28" s="36"/>
      <c r="J28" s="36"/>
      <c r="K28" s="36"/>
      <c r="L28" s="37"/>
      <c r="M28" s="37"/>
      <c r="N28" s="37"/>
      <c r="O28" s="36"/>
    </row>
    <row r="29" spans="1:18" x14ac:dyDescent="0.25">
      <c r="G29" s="36" t="s">
        <v>118</v>
      </c>
      <c r="H29" s="36"/>
      <c r="I29" s="36"/>
      <c r="J29" s="36"/>
      <c r="K29" s="36"/>
      <c r="L29" s="37"/>
      <c r="M29" s="37"/>
      <c r="N29" s="37"/>
      <c r="O29" s="36"/>
    </row>
    <row r="30" spans="1:18" x14ac:dyDescent="0.25">
      <c r="G30" s="36" t="s">
        <v>119</v>
      </c>
      <c r="H30" s="36"/>
      <c r="I30" s="36"/>
      <c r="J30" s="36"/>
      <c r="K30" s="36"/>
      <c r="L30" s="37"/>
      <c r="M30" s="37"/>
      <c r="N30" s="37"/>
      <c r="O30" s="36"/>
    </row>
  </sheetData>
  <sheetProtection selectLockedCells="1" selectUnlockedCells="1"/>
  <mergeCells count="11">
    <mergeCell ref="J6:N6"/>
    <mergeCell ref="J7:N7"/>
    <mergeCell ref="J8:N8"/>
    <mergeCell ref="J9:N9"/>
    <mergeCell ref="J10:N10"/>
    <mergeCell ref="K19:O19"/>
    <mergeCell ref="K23:O23"/>
    <mergeCell ref="C17:F17"/>
    <mergeCell ref="J11:N11"/>
    <mergeCell ref="J12:N12"/>
    <mergeCell ref="C14:F1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locked="0" defaultSize="0" autoLine="0" autoPict="0" macro="[0]!Раскрсписок2_Изменение">
                <anchor moveWithCells="1">
                  <from>
                    <xdr:col>2</xdr:col>
                    <xdr:colOff>0</xdr:colOff>
                    <xdr:row>10</xdr:row>
                    <xdr:rowOff>9525</xdr:rowOff>
                  </from>
                  <to>
                    <xdr:col>5</xdr:col>
                    <xdr:colOff>419100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Печать1">
                <anchor moveWithCells="1" sizeWithCells="1">
                  <from>
                    <xdr:col>2</xdr:col>
                    <xdr:colOff>209550</xdr:colOff>
                    <xdr:row>18</xdr:row>
                    <xdr:rowOff>66675</xdr:rowOff>
                  </from>
                  <to>
                    <xdr:col>5</xdr:col>
                    <xdr:colOff>238125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locked="0" defaultSize="0" print="0" autoFill="0" autoPict="0" macro="[0]!Макрос1">
                <anchor moveWithCells="1" sizeWithCells="1">
                  <from>
                    <xdr:col>11</xdr:col>
                    <xdr:colOff>57150</xdr:colOff>
                    <xdr:row>13</xdr:row>
                    <xdr:rowOff>76200</xdr:rowOff>
                  </from>
                  <to>
                    <xdr:col>14</xdr:col>
                    <xdr:colOff>228600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locked="0" defaultSize="0" print="0" autoFill="0" autoPict="0" macro="[0]!О_все_поля">
                <anchor moveWithCells="1" sizeWithCells="1">
                  <from>
                    <xdr:col>2</xdr:col>
                    <xdr:colOff>209550</xdr:colOff>
                    <xdr:row>21</xdr:row>
                    <xdr:rowOff>180975</xdr:rowOff>
                  </from>
                  <to>
                    <xdr:col>5</xdr:col>
                    <xdr:colOff>238125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locked="0" defaultSize="0" print="0" autoFill="0" autoPict="0" macro="[0]!Очистить_поля">
                <anchor moveWithCells="1" sizeWithCells="1">
                  <from>
                    <xdr:col>6</xdr:col>
                    <xdr:colOff>66675</xdr:colOff>
                    <xdr:row>12</xdr:row>
                    <xdr:rowOff>123825</xdr:rowOff>
                  </from>
                  <to>
                    <xdr:col>6</xdr:col>
                    <xdr:colOff>371475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locked="0" defaultSize="0" print="0" autoFill="0" autoPict="0" macro="[0]!Очистить_поля_2">
                <anchor moveWithCells="1" sizeWithCells="1">
                  <from>
                    <xdr:col>6</xdr:col>
                    <xdr:colOff>66675</xdr:colOff>
                    <xdr:row>15</xdr:row>
                    <xdr:rowOff>142875</xdr:rowOff>
                  </from>
                  <to>
                    <xdr:col>6</xdr:col>
                    <xdr:colOff>371475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locked="0" defaultSize="0" print="0" autoFill="0" autoPict="0" macro="[0]!Очистить_поля_3">
                <anchor moveWithCells="1" sizeWithCells="1">
                  <from>
                    <xdr:col>16</xdr:col>
                    <xdr:colOff>95250</xdr:colOff>
                    <xdr:row>5</xdr:row>
                    <xdr:rowOff>0</xdr:rowOff>
                  </from>
                  <to>
                    <xdr:col>17</xdr:col>
                    <xdr:colOff>57150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O55"/>
  <sheetViews>
    <sheetView workbookViewId="0">
      <selection activeCell="A39" sqref="A39"/>
    </sheetView>
  </sheetViews>
  <sheetFormatPr defaultRowHeight="15.75" x14ac:dyDescent="0.25"/>
  <cols>
    <col min="1" max="1" width="15.875" customWidth="1"/>
    <col min="2" max="2" width="29.375" customWidth="1"/>
    <col min="4" max="4" width="15.125" customWidth="1"/>
    <col min="5" max="5" width="53" customWidth="1"/>
    <col min="15" max="15" width="11.875" bestFit="1" customWidth="1"/>
  </cols>
  <sheetData>
    <row r="1" spans="1:15" x14ac:dyDescent="0.25">
      <c r="A1" s="43" t="s">
        <v>10</v>
      </c>
      <c r="B1" s="43" t="s">
        <v>9</v>
      </c>
      <c r="C1" s="43" t="s">
        <v>3</v>
      </c>
      <c r="D1" s="43" t="s">
        <v>2</v>
      </c>
      <c r="E1" s="43" t="s">
        <v>0</v>
      </c>
      <c r="F1" s="44" t="s">
        <v>5</v>
      </c>
      <c r="G1" s="44"/>
      <c r="H1" s="44"/>
    </row>
    <row r="2" spans="1:15" x14ac:dyDescent="0.25">
      <c r="A2" s="43" t="s">
        <v>17</v>
      </c>
      <c r="B2" s="43" t="s">
        <v>11</v>
      </c>
      <c r="C2" s="43" t="s">
        <v>52</v>
      </c>
      <c r="D2" s="43">
        <v>575120</v>
      </c>
      <c r="E2" s="43" t="s">
        <v>41</v>
      </c>
      <c r="F2" s="43">
        <v>28</v>
      </c>
      <c r="G2" s="43" t="s">
        <v>55</v>
      </c>
      <c r="H2" s="45" t="s">
        <v>54</v>
      </c>
    </row>
    <row r="3" spans="1:15" x14ac:dyDescent="0.25">
      <c r="A3" s="43" t="s">
        <v>104</v>
      </c>
      <c r="B3" s="43" t="s">
        <v>89</v>
      </c>
      <c r="C3" s="43" t="s">
        <v>75</v>
      </c>
      <c r="D3" s="43">
        <v>963650</v>
      </c>
      <c r="E3" s="43" t="s">
        <v>90</v>
      </c>
      <c r="F3" s="43">
        <v>12</v>
      </c>
      <c r="G3" s="43" t="s">
        <v>20</v>
      </c>
      <c r="H3" s="45">
        <v>12</v>
      </c>
    </row>
    <row r="4" spans="1:15" x14ac:dyDescent="0.25">
      <c r="A4" s="84" t="s">
        <v>112</v>
      </c>
      <c r="B4" s="84" t="s">
        <v>113</v>
      </c>
      <c r="C4" s="85" t="s">
        <v>126</v>
      </c>
      <c r="D4" s="86" t="s">
        <v>127</v>
      </c>
      <c r="E4" s="84" t="s">
        <v>69</v>
      </c>
      <c r="F4" s="84">
        <v>3</v>
      </c>
      <c r="G4" s="84" t="s">
        <v>68</v>
      </c>
      <c r="H4" s="45" t="s">
        <v>128</v>
      </c>
      <c r="O4">
        <v>89615791204</v>
      </c>
    </row>
    <row r="5" spans="1:15" x14ac:dyDescent="0.25">
      <c r="A5" s="43" t="s">
        <v>109</v>
      </c>
      <c r="B5" s="43" t="s">
        <v>106</v>
      </c>
      <c r="C5" s="43" t="s">
        <v>107</v>
      </c>
      <c r="D5" s="43">
        <v>626013</v>
      </c>
      <c r="E5" s="43" t="s">
        <v>90</v>
      </c>
      <c r="F5" s="43">
        <v>15</v>
      </c>
      <c r="G5" s="43" t="s">
        <v>108</v>
      </c>
      <c r="H5" s="45" t="s">
        <v>87</v>
      </c>
    </row>
    <row r="6" spans="1:15" x14ac:dyDescent="0.25">
      <c r="A6" s="43" t="s">
        <v>15</v>
      </c>
      <c r="B6" s="43" t="s">
        <v>13</v>
      </c>
      <c r="C6" s="43" t="s">
        <v>14</v>
      </c>
      <c r="D6" s="43">
        <v>820522</v>
      </c>
      <c r="E6" s="43" t="s">
        <v>23</v>
      </c>
      <c r="F6" s="43">
        <v>20</v>
      </c>
      <c r="G6" s="43" t="s">
        <v>20</v>
      </c>
      <c r="H6" s="45" t="s">
        <v>21</v>
      </c>
    </row>
    <row r="7" spans="1:15" x14ac:dyDescent="0.25">
      <c r="A7" s="43" t="s">
        <v>16</v>
      </c>
      <c r="B7" s="43" t="s">
        <v>18</v>
      </c>
      <c r="C7" s="43" t="s">
        <v>19</v>
      </c>
      <c r="D7" s="43">
        <v>215151</v>
      </c>
      <c r="E7" s="43" t="s">
        <v>23</v>
      </c>
      <c r="F7" s="43">
        <v>5</v>
      </c>
      <c r="G7" s="43" t="s">
        <v>12</v>
      </c>
      <c r="H7" s="45" t="s">
        <v>22</v>
      </c>
    </row>
    <row r="8" spans="1:15" x14ac:dyDescent="0.25">
      <c r="A8" s="43" t="s">
        <v>85</v>
      </c>
      <c r="B8" s="43" t="s">
        <v>105</v>
      </c>
      <c r="C8" s="43" t="s">
        <v>86</v>
      </c>
      <c r="D8" s="43">
        <v>563837</v>
      </c>
      <c r="E8" s="43" t="s">
        <v>38</v>
      </c>
      <c r="F8" s="43">
        <v>21</v>
      </c>
      <c r="G8" s="43" t="s">
        <v>42</v>
      </c>
      <c r="H8" s="46">
        <v>16</v>
      </c>
    </row>
    <row r="9" spans="1:15" x14ac:dyDescent="0.25">
      <c r="A9" s="43" t="s">
        <v>43</v>
      </c>
      <c r="B9" s="43" t="s">
        <v>44</v>
      </c>
      <c r="C9" s="43" t="s">
        <v>45</v>
      </c>
      <c r="D9" s="43">
        <v>293671</v>
      </c>
      <c r="E9" s="43" t="s">
        <v>46</v>
      </c>
      <c r="F9" s="43">
        <v>28</v>
      </c>
      <c r="G9" s="43" t="s">
        <v>39</v>
      </c>
      <c r="H9" s="45" t="s">
        <v>35</v>
      </c>
    </row>
    <row r="10" spans="1:15" x14ac:dyDescent="0.25">
      <c r="A10" s="80" t="s">
        <v>51</v>
      </c>
      <c r="B10" s="43"/>
      <c r="C10" s="43"/>
      <c r="D10" s="43"/>
      <c r="E10" s="43"/>
      <c r="F10" s="43"/>
      <c r="G10" s="43"/>
      <c r="H10" s="43"/>
    </row>
    <row r="11" spans="1:15" x14ac:dyDescent="0.25">
      <c r="A11" s="80" t="s">
        <v>92</v>
      </c>
      <c r="B11" s="43" t="str">
        <f>Лист2!K19</f>
        <v>Рисков Михаил Григорьевич</v>
      </c>
      <c r="C11" s="46">
        <f>Лист2!L21</f>
        <v>4803</v>
      </c>
      <c r="D11" s="43" t="str">
        <f>Лист2!N21</f>
        <v>128385</v>
      </c>
      <c r="E11" s="43" t="str">
        <f>Лист2!K23</f>
        <v>Кочёвским РОВД Коми-Пермяцкого автономного округа</v>
      </c>
      <c r="F11" s="43">
        <f>Лист2!K25</f>
        <v>6</v>
      </c>
      <c r="G11" s="45" t="str">
        <f>Лист2!M25</f>
        <v>09</v>
      </c>
      <c r="H11" s="45" t="str">
        <f>Лист2!O25</f>
        <v>04</v>
      </c>
    </row>
    <row r="12" spans="1:15" x14ac:dyDescent="0.25">
      <c r="A12" s="51" t="s">
        <v>62</v>
      </c>
      <c r="B12" s="52" t="s">
        <v>63</v>
      </c>
      <c r="C12" s="52" t="s">
        <v>98</v>
      </c>
      <c r="D12" s="52">
        <v>707683</v>
      </c>
      <c r="E12" s="52" t="s">
        <v>69</v>
      </c>
      <c r="F12" s="52">
        <v>23</v>
      </c>
      <c r="G12" s="53" t="s">
        <v>53</v>
      </c>
      <c r="H12" s="54" t="s">
        <v>70</v>
      </c>
    </row>
    <row r="13" spans="1:15" x14ac:dyDescent="0.25">
      <c r="A13" s="55" t="s">
        <v>32</v>
      </c>
      <c r="B13" s="48" t="s">
        <v>33</v>
      </c>
      <c r="C13" s="43" t="s">
        <v>52</v>
      </c>
      <c r="D13" s="48">
        <v>687738</v>
      </c>
      <c r="E13" s="48" t="s">
        <v>69</v>
      </c>
      <c r="F13" s="48">
        <v>15</v>
      </c>
      <c r="G13" s="49" t="s">
        <v>68</v>
      </c>
      <c r="H13" s="56" t="s">
        <v>70</v>
      </c>
    </row>
    <row r="14" spans="1:15" x14ac:dyDescent="0.25">
      <c r="A14" s="55"/>
      <c r="B14" s="48"/>
      <c r="C14" s="48"/>
      <c r="D14" s="48"/>
      <c r="E14" s="48"/>
      <c r="F14" s="48"/>
      <c r="G14" s="49"/>
      <c r="H14" s="56"/>
    </row>
    <row r="15" spans="1:15" x14ac:dyDescent="0.25">
      <c r="A15" s="55"/>
      <c r="B15" s="48"/>
      <c r="C15" s="48"/>
      <c r="D15" s="48"/>
      <c r="E15" s="48"/>
      <c r="F15" s="48"/>
      <c r="G15" s="49"/>
      <c r="H15" s="56"/>
    </row>
    <row r="16" spans="1:15" x14ac:dyDescent="0.25">
      <c r="A16" s="55"/>
      <c r="B16" s="48"/>
      <c r="C16" s="48"/>
      <c r="D16" s="48"/>
      <c r="E16" s="48"/>
      <c r="F16" s="48"/>
      <c r="G16" s="48"/>
      <c r="H16" s="50"/>
    </row>
    <row r="17" spans="1:9" x14ac:dyDescent="0.25">
      <c r="A17" s="57"/>
      <c r="B17" s="58"/>
      <c r="C17" s="58"/>
      <c r="D17" s="58"/>
      <c r="E17" s="58"/>
      <c r="F17" s="58"/>
      <c r="G17" s="58"/>
      <c r="H17" s="59"/>
    </row>
    <row r="18" spans="1:9" x14ac:dyDescent="0.25">
      <c r="A18" s="43"/>
      <c r="B18" s="43"/>
      <c r="C18" s="43"/>
      <c r="D18" s="43"/>
      <c r="E18" s="43"/>
      <c r="F18" s="43"/>
      <c r="G18" s="43"/>
      <c r="H18" s="43"/>
    </row>
    <row r="19" spans="1:9" x14ac:dyDescent="0.25">
      <c r="A19" s="43"/>
      <c r="B19" s="43"/>
      <c r="C19" s="43"/>
      <c r="D19" s="43"/>
      <c r="E19" s="43"/>
      <c r="F19" s="43"/>
      <c r="G19" s="43"/>
      <c r="H19" s="43"/>
    </row>
    <row r="20" spans="1:9" x14ac:dyDescent="0.25">
      <c r="A20" s="43"/>
      <c r="B20" s="43"/>
      <c r="C20" s="43"/>
      <c r="D20" s="43"/>
      <c r="E20" s="43"/>
      <c r="F20" s="43"/>
      <c r="G20" s="43"/>
      <c r="H20" s="43"/>
    </row>
    <row r="21" spans="1:9" x14ac:dyDescent="0.25">
      <c r="A21" s="43"/>
      <c r="B21" s="43"/>
      <c r="C21" s="43"/>
      <c r="D21" s="43"/>
      <c r="E21" s="43"/>
      <c r="F21" s="43"/>
      <c r="G21" s="43"/>
      <c r="H21" s="43"/>
    </row>
    <row r="22" spans="1:9" x14ac:dyDescent="0.25">
      <c r="A22" s="43"/>
      <c r="B22" s="43"/>
      <c r="C22" s="43"/>
      <c r="D22" s="43"/>
      <c r="E22" s="43"/>
      <c r="F22" s="43"/>
      <c r="G22" s="43"/>
      <c r="H22" s="45"/>
    </row>
    <row r="23" spans="1:9" x14ac:dyDescent="0.25">
      <c r="A23" s="43"/>
      <c r="B23" s="43"/>
      <c r="C23" s="43"/>
      <c r="D23" s="43"/>
      <c r="E23" s="43"/>
      <c r="F23" s="43"/>
      <c r="G23" s="43"/>
      <c r="H23" s="43"/>
    </row>
    <row r="24" spans="1:9" x14ac:dyDescent="0.25">
      <c r="A24" s="43"/>
      <c r="B24" s="43"/>
      <c r="C24" s="43"/>
      <c r="D24" s="43"/>
      <c r="E24" s="43"/>
      <c r="F24" s="43"/>
      <c r="G24" s="43"/>
      <c r="H24" s="43"/>
    </row>
    <row r="25" spans="1:9" x14ac:dyDescent="0.25">
      <c r="A25" s="43" t="s">
        <v>88</v>
      </c>
      <c r="B25" s="43" t="s">
        <v>89</v>
      </c>
      <c r="C25" s="43" t="s">
        <v>75</v>
      </c>
      <c r="D25" s="43">
        <v>963650</v>
      </c>
      <c r="E25" s="43" t="s">
        <v>90</v>
      </c>
      <c r="F25" s="43">
        <v>12</v>
      </c>
      <c r="G25" s="43" t="s">
        <v>20</v>
      </c>
      <c r="H25" s="45">
        <v>12</v>
      </c>
    </row>
    <row r="26" spans="1:9" x14ac:dyDescent="0.25">
      <c r="A26" s="43" t="s">
        <v>81</v>
      </c>
      <c r="B26" s="43" t="s">
        <v>82</v>
      </c>
      <c r="C26" s="43" t="s">
        <v>83</v>
      </c>
      <c r="D26" s="43">
        <v>103120</v>
      </c>
      <c r="E26" s="43" t="s">
        <v>84</v>
      </c>
      <c r="F26" s="50">
        <v>14</v>
      </c>
      <c r="G26" s="43" t="s">
        <v>76</v>
      </c>
      <c r="H26" s="45">
        <v>13</v>
      </c>
    </row>
    <row r="27" spans="1:9" x14ac:dyDescent="0.25">
      <c r="A27" s="43" t="s">
        <v>32</v>
      </c>
      <c r="B27" s="43" t="s">
        <v>33</v>
      </c>
      <c r="C27" s="43" t="s">
        <v>52</v>
      </c>
      <c r="D27" s="43">
        <v>687738</v>
      </c>
      <c r="E27" s="43" t="s">
        <v>69</v>
      </c>
      <c r="F27" s="43">
        <v>15</v>
      </c>
      <c r="G27" s="43" t="s">
        <v>68</v>
      </c>
      <c r="H27" s="45" t="s">
        <v>70</v>
      </c>
    </row>
    <row r="28" spans="1:9" x14ac:dyDescent="0.25">
      <c r="A28" s="48" t="s">
        <v>36</v>
      </c>
      <c r="B28" s="48" t="s">
        <v>37</v>
      </c>
      <c r="C28" s="48" t="s">
        <v>40</v>
      </c>
      <c r="D28" s="48">
        <v>517381</v>
      </c>
      <c r="E28" s="48" t="s">
        <v>38</v>
      </c>
      <c r="F28" s="48">
        <v>21</v>
      </c>
      <c r="G28" s="48" t="s">
        <v>42</v>
      </c>
      <c r="H28" s="73">
        <v>16</v>
      </c>
    </row>
    <row r="29" spans="1:9" x14ac:dyDescent="0.25">
      <c r="A29" s="48" t="s">
        <v>30</v>
      </c>
      <c r="B29" s="48" t="s">
        <v>31</v>
      </c>
      <c r="C29" s="48" t="s">
        <v>52</v>
      </c>
      <c r="D29" s="48">
        <v>698082</v>
      </c>
      <c r="E29" s="48" t="s">
        <v>69</v>
      </c>
      <c r="F29" s="48">
        <v>20</v>
      </c>
      <c r="G29" s="48" t="s">
        <v>53</v>
      </c>
      <c r="H29" s="49" t="s">
        <v>70</v>
      </c>
    </row>
    <row r="30" spans="1:9" x14ac:dyDescent="0.25">
      <c r="A30" s="48" t="s">
        <v>24</v>
      </c>
      <c r="B30" s="48" t="s">
        <v>6</v>
      </c>
      <c r="C30" s="48" t="s">
        <v>1</v>
      </c>
      <c r="D30" s="48">
        <v>683363</v>
      </c>
      <c r="E30" s="48" t="s">
        <v>4</v>
      </c>
      <c r="F30" s="74">
        <v>12</v>
      </c>
      <c r="G30" s="48" t="s">
        <v>8</v>
      </c>
      <c r="H30" s="49" t="s">
        <v>7</v>
      </c>
    </row>
    <row r="31" spans="1:9" x14ac:dyDescent="0.25">
      <c r="A31" s="48" t="s">
        <v>62</v>
      </c>
      <c r="B31" s="48" t="s">
        <v>63</v>
      </c>
      <c r="C31" s="48" t="s">
        <v>98</v>
      </c>
      <c r="D31" s="48">
        <v>707683</v>
      </c>
      <c r="E31" s="48" t="s">
        <v>69</v>
      </c>
      <c r="F31" s="48">
        <v>23</v>
      </c>
      <c r="G31" s="49" t="s">
        <v>53</v>
      </c>
      <c r="H31" s="49" t="s">
        <v>70</v>
      </c>
      <c r="I31" s="38" t="s">
        <v>64</v>
      </c>
    </row>
    <row r="32" spans="1:9" x14ac:dyDescent="0.25">
      <c r="A32" s="48" t="s">
        <v>65</v>
      </c>
      <c r="B32" s="48" t="s">
        <v>66</v>
      </c>
      <c r="C32" s="48" t="s">
        <v>34</v>
      </c>
      <c r="D32" s="48">
        <v>567562</v>
      </c>
      <c r="E32" s="48" t="s">
        <v>67</v>
      </c>
      <c r="F32" s="48">
        <v>11</v>
      </c>
      <c r="G32" s="48" t="s">
        <v>68</v>
      </c>
      <c r="H32" s="49" t="s">
        <v>7</v>
      </c>
    </row>
    <row r="35" spans="1:8" x14ac:dyDescent="0.25">
      <c r="A35" s="48"/>
      <c r="B35" s="48"/>
      <c r="C35" s="75"/>
      <c r="D35" s="48"/>
      <c r="E35" s="48"/>
      <c r="F35" s="48"/>
      <c r="G35" s="48"/>
      <c r="H35" s="48"/>
    </row>
    <row r="36" spans="1:8" x14ac:dyDescent="0.25">
      <c r="A36" s="76"/>
      <c r="B36" s="76"/>
      <c r="C36" s="76"/>
      <c r="D36" s="76"/>
      <c r="E36" s="76"/>
      <c r="F36" s="76"/>
      <c r="G36" s="76"/>
      <c r="H36" s="76"/>
    </row>
    <row r="37" spans="1:8" x14ac:dyDescent="0.25">
      <c r="A37" s="42" t="s">
        <v>49</v>
      </c>
      <c r="B37" s="42" t="s">
        <v>50</v>
      </c>
      <c r="C37" s="42" t="s">
        <v>50</v>
      </c>
      <c r="D37" s="42" t="s">
        <v>50</v>
      </c>
      <c r="E37" s="42" t="s">
        <v>50</v>
      </c>
      <c r="F37" s="42" t="s">
        <v>50</v>
      </c>
      <c r="G37" s="42" t="s">
        <v>50</v>
      </c>
      <c r="H37" s="42" t="s">
        <v>50</v>
      </c>
    </row>
    <row r="38" spans="1:8" x14ac:dyDescent="0.25">
      <c r="A38" s="82" t="s">
        <v>77</v>
      </c>
      <c r="B38" s="82" t="s">
        <v>78</v>
      </c>
      <c r="C38" s="82" t="s">
        <v>19</v>
      </c>
      <c r="D38" s="82">
        <v>152731</v>
      </c>
      <c r="E38" s="82" t="s">
        <v>79</v>
      </c>
      <c r="F38" s="82">
        <v>29</v>
      </c>
      <c r="G38" s="82" t="s">
        <v>80</v>
      </c>
      <c r="H38" s="83" t="s">
        <v>22</v>
      </c>
    </row>
    <row r="39" spans="1:8" x14ac:dyDescent="0.25">
      <c r="A39" s="71" t="s">
        <v>71</v>
      </c>
      <c r="B39" s="71" t="s">
        <v>74</v>
      </c>
      <c r="C39" s="71" t="s">
        <v>72</v>
      </c>
      <c r="D39" s="71">
        <v>339529</v>
      </c>
      <c r="E39" s="71" t="s">
        <v>73</v>
      </c>
      <c r="F39" s="71">
        <v>26</v>
      </c>
      <c r="G39" s="71" t="s">
        <v>53</v>
      </c>
      <c r="H39" s="72">
        <v>10</v>
      </c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4" spans="1:8" x14ac:dyDescent="0.25">
      <c r="E44" s="43"/>
    </row>
    <row r="55" spans="1:8" x14ac:dyDescent="0.25">
      <c r="A55" s="43"/>
      <c r="B55" s="43"/>
      <c r="D55" s="43"/>
      <c r="E55" s="43"/>
      <c r="F55" s="43"/>
      <c r="G55" s="43"/>
      <c r="H55" s="43"/>
    </row>
  </sheetData>
  <sheetProtection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R42"/>
  <sheetViews>
    <sheetView zoomScaleNormal="100" workbookViewId="0">
      <selection activeCell="I34" sqref="I34"/>
    </sheetView>
  </sheetViews>
  <sheetFormatPr defaultRowHeight="15.75" x14ac:dyDescent="0.25"/>
  <cols>
    <col min="1" max="1" width="5.625" customWidth="1"/>
    <col min="2" max="2" width="9" customWidth="1"/>
    <col min="3" max="3" width="6.875" customWidth="1"/>
    <col min="4" max="4" width="7.375" customWidth="1"/>
    <col min="5" max="9" width="5.625" customWidth="1"/>
    <col min="10" max="10" width="9.375" customWidth="1"/>
    <col min="11" max="14" width="5.625" customWidth="1"/>
    <col min="16" max="16" width="5" customWidth="1"/>
    <col min="17" max="17" width="8.375" customWidth="1"/>
    <col min="18" max="18" width="4.875" customWidth="1"/>
  </cols>
  <sheetData>
    <row r="1" spans="1:1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>
        <v>1</v>
      </c>
      <c r="O1" s="1"/>
      <c r="P1" s="1"/>
    </row>
    <row r="2" spans="1:18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8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8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8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8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8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8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26"/>
      <c r="R8" s="26"/>
    </row>
    <row r="9" spans="1:18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26"/>
      <c r="R9" s="26"/>
    </row>
    <row r="10" spans="1:18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26"/>
      <c r="R10" s="26"/>
    </row>
    <row r="11" spans="1:18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26"/>
      <c r="R11" s="26"/>
    </row>
    <row r="12" spans="1:18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26"/>
      <c r="R12" s="26"/>
    </row>
    <row r="13" spans="1:18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26"/>
      <c r="R13" s="26"/>
    </row>
    <row r="14" spans="1:18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26"/>
      <c r="R14" s="26"/>
    </row>
    <row r="15" spans="1:18" x14ac:dyDescent="0.25">
      <c r="A15" s="1"/>
      <c r="B15" s="1"/>
      <c r="C15" s="1"/>
      <c r="D15" s="1"/>
      <c r="E15" s="1"/>
      <c r="F15" s="1"/>
      <c r="G15" s="1" t="str">
        <f>Лист2!C6</f>
        <v>17</v>
      </c>
      <c r="H15" s="4" t="str">
        <f>Лист2!D6</f>
        <v>09</v>
      </c>
      <c r="I15" s="47" t="str">
        <f>Лист2!E6</f>
        <v>2020</v>
      </c>
      <c r="J15" s="1"/>
      <c r="K15" s="1"/>
      <c r="L15" s="1"/>
      <c r="M15" s="1"/>
      <c r="N15" s="1"/>
      <c r="O15" s="1"/>
      <c r="P15" s="1"/>
      <c r="Q15" s="26"/>
      <c r="R15" s="26"/>
    </row>
    <row r="16" spans="1:18" x14ac:dyDescent="0.25">
      <c r="A16" s="1"/>
      <c r="B16" s="1"/>
      <c r="C16" s="1"/>
      <c r="D16" s="1"/>
      <c r="E16" s="1"/>
      <c r="F16" s="1"/>
      <c r="G16" s="1" t="str">
        <f>Лист2!C7</f>
        <v>24</v>
      </c>
      <c r="H16" s="4" t="str">
        <f>Лист2!D7</f>
        <v>09</v>
      </c>
      <c r="I16" s="4" t="str">
        <f>Лист2!E7</f>
        <v>2020</v>
      </c>
      <c r="J16" s="1"/>
      <c r="K16" s="1"/>
      <c r="L16" s="1"/>
      <c r="M16" s="1"/>
      <c r="N16" s="1"/>
      <c r="O16" s="1"/>
      <c r="P16" s="1"/>
      <c r="Q16" s="26"/>
      <c r="R16" s="26"/>
    </row>
    <row r="17" spans="1:18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26"/>
      <c r="R17" s="26"/>
    </row>
    <row r="18" spans="1:18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26"/>
      <c r="R18" s="26"/>
    </row>
    <row r="19" spans="1:18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26"/>
      <c r="R19" s="26"/>
    </row>
    <row r="20" spans="1:1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26"/>
      <c r="R20" s="26"/>
    </row>
    <row r="21" spans="1:18" x14ac:dyDescent="0.25">
      <c r="A21" s="1"/>
      <c r="B21" s="1"/>
      <c r="C21" s="1"/>
      <c r="D21" s="1"/>
      <c r="E21" s="1"/>
      <c r="F21" s="1"/>
      <c r="G21" s="1" t="str">
        <f>CHOOSE(Лист2!L5,'База данных'!B2,'База данных'!B3,'База данных'!B4,'База данных'!B5,'База данных'!B6,'База данных'!B7,'База данных'!B8,'База данных'!B9,'База данных'!B37,'База данных'!B11,'База данных'!B12,'База данных'!B13,'База данных'!B14,'База данных'!B15,'База данных'!B16,'База данных'!B17)</f>
        <v>Жуланову Михаилу Николаевичу</v>
      </c>
      <c r="H21" s="1"/>
      <c r="I21" s="1"/>
      <c r="J21" s="1"/>
      <c r="K21" s="1"/>
      <c r="L21" s="1"/>
      <c r="M21" s="1"/>
      <c r="N21" s="1"/>
      <c r="O21" s="1"/>
      <c r="P21" s="1"/>
      <c r="Q21" s="26"/>
      <c r="R21" s="26"/>
    </row>
    <row r="22" spans="1:18" x14ac:dyDescent="0.25">
      <c r="A22" s="1"/>
      <c r="B22" s="1"/>
      <c r="C22" s="1"/>
      <c r="D22" s="1"/>
      <c r="E22" s="1"/>
      <c r="F22" s="1"/>
      <c r="G22" s="78" t="str">
        <f>CHOOSE(Лист2!L5,'База данных'!C2,'База данных'!C3,'База данных'!C4,'База данных'!C5,'База данных'!C6,'База данных'!C7,'База данных'!C8,'База данных'!C9,'База данных'!C37,'База данных'!C11,'База данных'!C12,'База данных'!C13,'База данных'!C14,'База данных'!C15,'База данных'!C16,'База данных'!C17)</f>
        <v>57 17</v>
      </c>
      <c r="H22" s="3">
        <f>CHOOSE(Лист2!L5,'База данных'!D2,'База данных'!D3,'База данных'!D4,'База данных'!D5,'База данных'!D6,'База данных'!D7,'База данных'!D8,'База данных'!D9,'База данных'!D37,'База данных'!D11,'База данных'!D12,'База данных'!D13,'База данных'!D14,'База данных'!D15,'База данных'!D16,'База данных'!D17)</f>
        <v>575120</v>
      </c>
      <c r="I22" s="1"/>
      <c r="J22" s="1"/>
      <c r="K22" s="1"/>
      <c r="L22" s="1"/>
      <c r="M22" s="1"/>
      <c r="N22" s="1"/>
      <c r="O22" s="1"/>
      <c r="P22" s="1"/>
      <c r="Q22" s="26"/>
      <c r="R22" s="26"/>
    </row>
    <row r="23" spans="1:18" x14ac:dyDescent="0.25">
      <c r="A23" s="1"/>
      <c r="B23" s="1" t="str">
        <f>CHOOSE(Лист2!L5,'База данных'!E2,'База данных'!E3,'База данных'!E4,'База данных'!E5,'База данных'!E6,'База данных'!E7,'База данных'!E8,'База данных'!E9,'База данных'!E37,'База данных'!E11,'База данных'!E12,'База данных'!E13,'База данных'!E14,'База данных'!E15,'База данных'!E16,'База данных'!E17)</f>
        <v>ОУФМС России по Пермскому кр. в Свердловском р-не гор. Перми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26"/>
      <c r="R23" s="26"/>
    </row>
    <row r="24" spans="1:18" x14ac:dyDescent="0.25">
      <c r="A24" s="1"/>
      <c r="B24" s="1"/>
      <c r="C24" s="1"/>
      <c r="D24" s="1"/>
      <c r="E24" s="1"/>
      <c r="F24" s="1"/>
      <c r="G24" s="2">
        <f>CHOOSE(Лист2!L5,'База данных'!F2,'База данных'!F3,'База данных'!F4,'База данных'!F5,'База данных'!F6,'База данных'!F7,'База данных'!F8,'База данных'!F9,'База данных'!F37,'База данных'!F11,'База данных'!F12,'База данных'!F13,'База данных'!F14,'База данных'!F15,'База данных'!F16,'База данных'!F17)</f>
        <v>28</v>
      </c>
      <c r="H24" s="2" t="str">
        <f>CHOOSE(Лист2!L5,'База данных'!G2,'База данных'!G3,'База данных'!G4,'База данных'!G5,'База данных'!G6,'База данных'!G7,'База данных'!G8,'База данных'!G9,'База данных'!G37,'База данных'!G11,'База данных'!G12,'База данных'!G13,'База данных'!G14,'База данных'!G15,'База данных'!G16,'База данных'!G17)</f>
        <v>апреля</v>
      </c>
      <c r="I24" s="1" t="str">
        <f>CHOOSE(Лист2!L5,'База данных'!H2,'База данных'!H3,'База данных'!H4,'База данных'!H5,'База данных'!H6,'База данных'!H7,'База данных'!H8,'База данных'!H9,'База данных'!H37,'База данных'!H11,'База данных'!H12,'База данных'!H13,'База данных'!H14,'База данных'!H15,'База данных'!H16,'База данных'!H17)</f>
        <v>17</v>
      </c>
      <c r="J24" s="1"/>
      <c r="K24" s="1"/>
      <c r="L24" s="1"/>
      <c r="M24" s="1"/>
      <c r="N24" s="1"/>
      <c r="O24" s="1"/>
      <c r="P24" s="1"/>
      <c r="Q24" s="26"/>
      <c r="R24" s="26"/>
    </row>
    <row r="25" spans="1:18" x14ac:dyDescent="0.25">
      <c r="A25" s="1"/>
      <c r="B25" s="1"/>
      <c r="C25" s="1"/>
      <c r="D25" s="1"/>
      <c r="E25" s="1"/>
      <c r="F25" s="1"/>
      <c r="G25" s="1"/>
      <c r="H25" s="1"/>
      <c r="I25" s="1"/>
      <c r="J25" s="1" t="str">
        <f>CHOOSE(Лист2!L5,'База данных'!A2,'База данных'!A3,'База данных'!A4,'База данных'!A5,'База данных'!A6,'База данных'!A7,'База данных'!A8,'База данных'!A9,'База данных'!A37,Лист2!K19,'База данных'!A12,'База данных'!A13,'База данных'!A14,'База данных'!A15,'База данных'!A16,'База данных'!A17)</f>
        <v>Жуланов М.Н.</v>
      </c>
      <c r="K25" s="1"/>
      <c r="L25" s="1"/>
      <c r="M25" s="1"/>
      <c r="N25" s="1"/>
      <c r="O25" s="1"/>
      <c r="P25" s="1"/>
      <c r="Q25" s="26"/>
      <c r="R25" s="26"/>
    </row>
    <row r="26" spans="1:18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26"/>
      <c r="R26" s="26"/>
    </row>
    <row r="27" spans="1:18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26"/>
      <c r="R27" s="26"/>
    </row>
    <row r="28" spans="1:18" x14ac:dyDescent="0.25">
      <c r="A28" s="1"/>
      <c r="B28" s="29" t="str">
        <f>Лист2!C14</f>
        <v>Счет № 16682 от 14.08.2020</v>
      </c>
      <c r="C28" s="28">
        <v>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26"/>
      <c r="R28" s="26"/>
    </row>
    <row r="29" spans="1:18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6"/>
      <c r="R29" s="26"/>
    </row>
    <row r="30" spans="1:18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26"/>
      <c r="R30" s="26"/>
    </row>
    <row r="31" spans="1:18" x14ac:dyDescent="0.25">
      <c r="A31" s="1"/>
      <c r="B31" s="1"/>
      <c r="C31" s="1"/>
      <c r="D31" s="5" t="str">
        <f>Лист2!C17</f>
        <v>ООО "Метизно-металлургическая компания"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6"/>
      <c r="R31" s="26"/>
    </row>
    <row r="32" spans="1:18" x14ac:dyDescent="0.25">
      <c r="A32" s="1"/>
      <c r="B32" s="1"/>
      <c r="C32" s="1"/>
      <c r="D32" s="6">
        <f ca="1">TODAY()</f>
        <v>44252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6"/>
      <c r="R32" s="26"/>
    </row>
    <row r="33" spans="1:18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26"/>
      <c r="R33" s="26"/>
    </row>
    <row r="34" spans="1:18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26"/>
      <c r="R34" s="26"/>
    </row>
    <row r="35" spans="1:18" x14ac:dyDescent="0.25">
      <c r="A35" s="23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</row>
    <row r="36" spans="1:18" x14ac:dyDescent="0.25">
      <c r="A36" s="23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</row>
    <row r="37" spans="1:18" x14ac:dyDescent="0.25"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</row>
    <row r="38" spans="1:18" x14ac:dyDescent="0.25"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</row>
    <row r="39" spans="1:18" x14ac:dyDescent="0.25"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</row>
    <row r="40" spans="1:18" x14ac:dyDescent="0.25"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</row>
    <row r="41" spans="1:18" x14ac:dyDescent="0.25"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</row>
    <row r="42" spans="1:18" x14ac:dyDescent="0.25"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</row>
  </sheetData>
  <sheetProtection password="CE28" sheet="1" objects="1" scenarios="1" selectLockedCells="1" selectUnlockedCells="1"/>
  <pageMargins left="0" right="0" top="0" bottom="0.74803149606299213" header="0.31496062992125984" footer="0.31496062992125984"/>
  <pageSetup paperSize="9" scale="8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28:G39"/>
  <sheetViews>
    <sheetView workbookViewId="0">
      <selection activeCell="C39" sqref="C39"/>
    </sheetView>
  </sheetViews>
  <sheetFormatPr defaultRowHeight="15.75" x14ac:dyDescent="0.25"/>
  <cols>
    <col min="9" max="9" width="9" customWidth="1"/>
    <col min="10" max="10" width="5.5" customWidth="1"/>
    <col min="11" max="13" width="9" customWidth="1"/>
    <col min="15" max="15" width="9" customWidth="1"/>
  </cols>
  <sheetData>
    <row r="28" spans="1:7" x14ac:dyDescent="0.25">
      <c r="A28" s="1"/>
      <c r="B28" s="29" t="str">
        <f>Лист2!J6</f>
        <v>Гвозди тарные 2х40</v>
      </c>
      <c r="C28" s="29" t="str">
        <f>Лист2!O6</f>
        <v>кг</v>
      </c>
      <c r="D28" s="39" t="str">
        <f>Лист2!P6</f>
        <v>400 (четыреста)</v>
      </c>
      <c r="E28" s="1"/>
      <c r="F28" s="30"/>
      <c r="G28" s="39">
        <f>Лист2!I6</f>
        <v>1</v>
      </c>
    </row>
    <row r="29" spans="1:7" x14ac:dyDescent="0.25">
      <c r="A29" s="1"/>
      <c r="B29" s="29">
        <f>Лист2!J7</f>
        <v>0</v>
      </c>
      <c r="C29" s="29">
        <f>Лист2!O7</f>
        <v>0</v>
      </c>
      <c r="D29" s="39">
        <f>Лист2!P7</f>
        <v>0</v>
      </c>
      <c r="E29" s="1"/>
      <c r="F29" s="30"/>
      <c r="G29" s="39">
        <f>Лист2!I7</f>
        <v>0</v>
      </c>
    </row>
    <row r="30" spans="1:7" x14ac:dyDescent="0.25">
      <c r="A30" s="1"/>
      <c r="B30" s="29" t="str">
        <f>Лист2!J8</f>
        <v xml:space="preserve"> </v>
      </c>
      <c r="C30" s="29" t="str">
        <f>Лист2!O8</f>
        <v xml:space="preserve"> </v>
      </c>
      <c r="D30" s="39" t="str">
        <f>Лист2!P8</f>
        <v xml:space="preserve"> </v>
      </c>
      <c r="E30" s="1"/>
      <c r="F30" s="30"/>
      <c r="G30" s="39">
        <f>Лист2!I8</f>
        <v>0</v>
      </c>
    </row>
    <row r="31" spans="1:7" x14ac:dyDescent="0.25">
      <c r="A31" s="1"/>
      <c r="B31" s="29" t="str">
        <f>Лист2!J9</f>
        <v xml:space="preserve"> </v>
      </c>
      <c r="C31" s="29" t="str">
        <f>Лист2!O9</f>
        <v xml:space="preserve"> </v>
      </c>
      <c r="D31" s="39" t="str">
        <f>Лист2!P9</f>
        <v xml:space="preserve"> </v>
      </c>
      <c r="E31" s="1"/>
      <c r="F31" s="30"/>
      <c r="G31" s="39" t="str">
        <f>Лист2!I9</f>
        <v xml:space="preserve"> </v>
      </c>
    </row>
    <row r="32" spans="1:7" x14ac:dyDescent="0.25">
      <c r="A32" s="1"/>
      <c r="B32" s="29" t="str">
        <f>Лист2!J10</f>
        <v xml:space="preserve"> </v>
      </c>
      <c r="C32" s="29" t="str">
        <f>Лист2!O10</f>
        <v xml:space="preserve"> </v>
      </c>
      <c r="D32" s="39" t="str">
        <f>Лист2!P10</f>
        <v xml:space="preserve"> </v>
      </c>
      <c r="E32" s="1"/>
      <c r="F32" s="30"/>
      <c r="G32" s="39" t="str">
        <f>Лист2!I10</f>
        <v xml:space="preserve"> </v>
      </c>
    </row>
    <row r="33" spans="1:7" x14ac:dyDescent="0.25">
      <c r="A33" s="1"/>
      <c r="B33" s="29" t="str">
        <f>Лист2!J11</f>
        <v xml:space="preserve"> </v>
      </c>
      <c r="C33" s="29" t="str">
        <f>Лист2!O11</f>
        <v xml:space="preserve"> </v>
      </c>
      <c r="D33" s="39" t="str">
        <f>Лист2!P11</f>
        <v xml:space="preserve"> </v>
      </c>
      <c r="E33" s="1"/>
      <c r="F33" s="30"/>
      <c r="G33" s="39" t="str">
        <f>Лист2!I11</f>
        <v xml:space="preserve"> </v>
      </c>
    </row>
    <row r="34" spans="1:7" x14ac:dyDescent="0.25">
      <c r="A34" s="1"/>
      <c r="B34" s="29" t="str">
        <f>Лист2!J12</f>
        <v xml:space="preserve"> </v>
      </c>
      <c r="C34" s="29" t="str">
        <f>Лист2!O12</f>
        <v xml:space="preserve"> </v>
      </c>
      <c r="D34" s="39" t="str">
        <f>Лист2!P12</f>
        <v xml:space="preserve"> </v>
      </c>
      <c r="E34" s="1"/>
      <c r="F34" s="30"/>
      <c r="G34" s="39" t="str">
        <f>Лист2!I12</f>
        <v xml:space="preserve"> </v>
      </c>
    </row>
    <row r="35" spans="1:7" x14ac:dyDescent="0.25">
      <c r="A35" s="2"/>
      <c r="B35" s="1"/>
      <c r="C35" s="1"/>
      <c r="D35" s="1"/>
      <c r="E35" s="1"/>
      <c r="F35" s="30"/>
      <c r="G35" s="30"/>
    </row>
    <row r="36" spans="1:7" x14ac:dyDescent="0.25">
      <c r="A36" s="2"/>
      <c r="B36" s="1"/>
      <c r="C36" s="1"/>
      <c r="D36" s="1"/>
      <c r="E36" s="1"/>
      <c r="F36" s="30"/>
      <c r="G36" s="30"/>
    </row>
    <row r="37" spans="1:7" x14ac:dyDescent="0.25">
      <c r="A37" s="1"/>
      <c r="B37" s="1"/>
      <c r="C37" s="1"/>
      <c r="D37" s="1"/>
      <c r="E37" s="1"/>
      <c r="F37" s="30"/>
      <c r="G37" s="30"/>
    </row>
    <row r="38" spans="1:7" x14ac:dyDescent="0.25">
      <c r="A38" s="30"/>
      <c r="B38" s="30"/>
      <c r="C38" s="30"/>
      <c r="D38" s="30"/>
      <c r="E38" s="30"/>
      <c r="F38" s="30"/>
      <c r="G38" s="30"/>
    </row>
    <row r="39" spans="1:7" x14ac:dyDescent="0.25">
      <c r="A39" s="30"/>
      <c r="B39" s="30"/>
      <c r="C39" s="30"/>
      <c r="D39" s="30"/>
      <c r="E39" s="30"/>
    </row>
  </sheetData>
  <sheetProtection password="CE28" sheet="1" objects="1" scenarios="1"/>
  <pageMargins left="0.23622047244094491" right="0.23622047244094491" top="0.31496062992125984" bottom="0.74803149606299213" header="0.31496062992125984" footer="0.31496062992125984"/>
  <pageSetup paperSize="9" scale="8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23" sqref="J23"/>
    </sheetView>
  </sheetViews>
  <sheetFormatPr defaultRowHeight="15.75" x14ac:dyDescent="0.25"/>
  <cols>
    <col min="3" max="3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Лист2</vt:lpstr>
      <vt:lpstr>База данных</vt:lpstr>
      <vt:lpstr>Лист1</vt:lpstr>
      <vt:lpstr>Лист4</vt:lpstr>
      <vt:lpstr>Лист5</vt:lpstr>
    </vt:vector>
  </TitlesOfParts>
  <Company>ОАО "СТАР"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Кусакин Сергей Владиславович</dc:creator>
  <cp:lastModifiedBy>Кусакин Сергей Владиславович</cp:lastModifiedBy>
  <cp:lastPrinted>2020-09-16T09:27:14Z</cp:lastPrinted>
  <dcterms:created xsi:type="dcterms:W3CDTF">2015-07-10T03:46:37Z</dcterms:created>
  <dcterms:modified xsi:type="dcterms:W3CDTF">2021-02-25T02:57:55Z</dcterms:modified>
</cp:coreProperties>
</file>